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lientes\Meta4_Multitenant\Clientes\Global\000002 - 20250305_Caso_3496399 - ST-GOB - Organigrama empleados (ver tb.3437678)\Documentación\"/>
    </mc:Choice>
  </mc:AlternateContent>
  <xr:revisionPtr revIDLastSave="0" documentId="13_ncr:1_{D245EB79-71E9-4314-826B-6B21D941A869}" xr6:coauthVersionLast="47" xr6:coauthVersionMax="47" xr10:uidLastSave="{00000000-0000-0000-0000-000000000000}"/>
  <bookViews>
    <workbookView minimized="1" xWindow="1050" yWindow="105" windowWidth="27300" windowHeight="15480" tabRatio="698" firstSheet="2" activeTab="2" xr2:uid="{CAF24E0C-F2F8-4905-A2EC-2070B06B5E94}"/>
  </bookViews>
  <sheets>
    <sheet name="Orig (V1_BCK)" sheetId="1" r:id="rId1"/>
    <sheet name="Nueva (V11)" sheetId="2" r:id="rId2"/>
    <sheet name="Correg (V1)" sheetId="3" r:id="rId3"/>
    <sheet name="Leyendas" sheetId="4" r:id="rId4"/>
  </sheets>
  <definedNames>
    <definedName name="_xlnm._FilterDatabase" localSheetId="2" hidden="1">'Correg (V1)'!$A$1:$T$563</definedName>
    <definedName name="_xlnm._FilterDatabase" localSheetId="1" hidden="1">'Nueva (V11)'!$A$1:$T$301</definedName>
    <definedName name="_xlnm._FilterDatabase" localSheetId="0" hidden="1">'Orig (V1_BCK)'!$A$1:$U$342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2" i="3"/>
  <c r="B130" i="2"/>
  <c r="C317" i="1"/>
  <c r="C168" i="1"/>
  <c r="C139" i="1"/>
  <c r="C110" i="1"/>
  <c r="C61" i="1"/>
  <c r="C62" i="1"/>
  <c r="C37" i="1"/>
  <c r="C332" i="1"/>
  <c r="C184" i="1"/>
  <c r="C68" i="1"/>
  <c r="C20" i="1"/>
  <c r="C80" i="1"/>
  <c r="C341" i="1"/>
  <c r="C138" i="1"/>
  <c r="C38" i="1"/>
  <c r="C321" i="1"/>
  <c r="C336" i="1"/>
  <c r="C294" i="1"/>
  <c r="C228" i="1"/>
  <c r="C309" i="1"/>
  <c r="C291" i="1"/>
  <c r="C245" i="1"/>
  <c r="C248" i="1"/>
  <c r="C197" i="1"/>
  <c r="C250" i="1"/>
  <c r="C259" i="1"/>
  <c r="C279" i="1"/>
  <c r="C281" i="1"/>
  <c r="C194" i="1"/>
  <c r="C241" i="1"/>
  <c r="C267" i="1"/>
  <c r="C271" i="1"/>
  <c r="C198" i="1"/>
  <c r="C196" i="1"/>
  <c r="C305" i="1"/>
  <c r="C303" i="1"/>
  <c r="C243" i="1"/>
  <c r="C232" i="1"/>
  <c r="C249" i="1"/>
  <c r="C300" i="1"/>
  <c r="C221" i="1"/>
  <c r="C247" i="1"/>
  <c r="C278" i="1"/>
  <c r="C297" i="1"/>
  <c r="C282" i="1"/>
  <c r="C257" i="1"/>
  <c r="C258" i="1"/>
  <c r="C201" i="1"/>
  <c r="C242" i="1"/>
  <c r="C208" i="1"/>
  <c r="C244" i="1"/>
  <c r="C263" i="1"/>
  <c r="C295" i="1"/>
  <c r="C288" i="1"/>
  <c r="C200" i="1"/>
  <c r="C211" i="1"/>
  <c r="C262" i="1"/>
  <c r="C289" i="1"/>
  <c r="C285" i="1"/>
  <c r="C296" i="1"/>
  <c r="C270" i="1"/>
  <c r="C220" i="1"/>
  <c r="C240" i="1"/>
  <c r="C290" i="1"/>
  <c r="C304" i="1"/>
  <c r="C226" i="1"/>
  <c r="C292" i="1"/>
  <c r="C293" i="1"/>
  <c r="C209" i="1"/>
  <c r="C222" i="1"/>
  <c r="C202" i="1"/>
  <c r="C199" i="1"/>
  <c r="C246" i="1"/>
  <c r="C212" i="1"/>
  <c r="C265" i="1"/>
  <c r="C195" i="1"/>
  <c r="C210" i="1"/>
  <c r="C218" i="1"/>
  <c r="C251" i="1"/>
  <c r="C254" i="1"/>
  <c r="C273" i="1"/>
  <c r="C277" i="1"/>
  <c r="C214" i="1"/>
  <c r="C264" i="1"/>
  <c r="C239" i="1"/>
  <c r="C253" i="1"/>
  <c r="C204" i="1"/>
  <c r="C215" i="1"/>
  <c r="C227" i="1"/>
  <c r="C256" i="1"/>
  <c r="C310" i="1"/>
  <c r="C274" i="1"/>
  <c r="C213" i="1"/>
  <c r="C268" i="1"/>
  <c r="C252" i="1"/>
  <c r="C284" i="1"/>
  <c r="C237" i="1"/>
  <c r="C261" i="1"/>
  <c r="C272" i="1"/>
  <c r="C276" i="1"/>
  <c r="C255" i="1"/>
  <c r="C275" i="1"/>
  <c r="C229" i="1"/>
  <c r="C207" i="1"/>
  <c r="C308" i="1"/>
  <c r="C311" i="1"/>
  <c r="C266" i="1"/>
  <c r="C287" i="1"/>
  <c r="C193" i="1"/>
  <c r="C203" i="1"/>
  <c r="C269" i="1"/>
  <c r="C225" i="1"/>
  <c r="C230" i="1"/>
  <c r="C286" i="1"/>
  <c r="C306" i="1"/>
  <c r="C312" i="1"/>
  <c r="C219" i="1"/>
  <c r="C314" i="1"/>
  <c r="C260" i="1"/>
  <c r="C206" i="1"/>
  <c r="C236" i="1"/>
  <c r="C280" i="1"/>
  <c r="C283" i="1"/>
  <c r="C234" i="1"/>
  <c r="C192" i="1"/>
  <c r="C307" i="1"/>
  <c r="C217" i="1"/>
  <c r="C216" i="1"/>
  <c r="C313" i="1"/>
  <c r="C231" i="1"/>
  <c r="C205" i="1"/>
  <c r="C238" i="1"/>
  <c r="C233" i="1"/>
  <c r="C235" i="1"/>
  <c r="C301" i="1"/>
  <c r="C298" i="1"/>
  <c r="C223" i="1"/>
  <c r="C302" i="1"/>
  <c r="C299" i="1"/>
  <c r="C224" i="1"/>
  <c r="C92" i="1"/>
  <c r="C44" i="1"/>
  <c r="C56" i="1"/>
  <c r="C143" i="1"/>
  <c r="C34" i="1"/>
  <c r="C6" i="1"/>
  <c r="C190" i="1"/>
  <c r="C121" i="1"/>
  <c r="C146" i="1"/>
  <c r="C81" i="1"/>
  <c r="C87" i="1"/>
  <c r="C118" i="1"/>
  <c r="C77" i="1"/>
  <c r="C84" i="1"/>
  <c r="C105" i="1"/>
  <c r="C85" i="1"/>
  <c r="C176" i="1"/>
  <c r="C155" i="1"/>
  <c r="C322" i="1"/>
  <c r="C178" i="1"/>
  <c r="C71" i="1"/>
  <c r="C60" i="1"/>
  <c r="C108" i="1"/>
  <c r="C128" i="1"/>
  <c r="C151" i="1"/>
  <c r="C123" i="1"/>
  <c r="C117" i="1"/>
  <c r="C93" i="1"/>
  <c r="C182" i="1"/>
  <c r="C126" i="1"/>
  <c r="C159" i="1"/>
  <c r="C154" i="1"/>
  <c r="C8" i="1"/>
  <c r="C147" i="1"/>
  <c r="C74" i="1"/>
  <c r="C177" i="1"/>
  <c r="C90" i="1"/>
  <c r="C2" i="1"/>
  <c r="C4" i="1"/>
  <c r="C46" i="1"/>
  <c r="C189" i="1"/>
  <c r="C86" i="1"/>
  <c r="C83" i="1"/>
  <c r="C169" i="1"/>
  <c r="C165" i="1"/>
  <c r="C144" i="1"/>
  <c r="C76" i="1"/>
  <c r="C58" i="1"/>
  <c r="C183" i="1"/>
  <c r="C131" i="1"/>
  <c r="C132" i="1"/>
  <c r="C133" i="1"/>
  <c r="C134" i="1"/>
  <c r="C115" i="1"/>
  <c r="C106" i="1"/>
  <c r="C122" i="1"/>
  <c r="C318" i="1"/>
  <c r="C41" i="1"/>
  <c r="C88" i="1"/>
  <c r="C14" i="1"/>
  <c r="C125" i="1"/>
  <c r="C67" i="1"/>
  <c r="C66" i="1"/>
  <c r="C141" i="1"/>
  <c r="C89" i="1"/>
  <c r="C150" i="1"/>
  <c r="C188" i="1"/>
  <c r="C25" i="1"/>
  <c r="C45" i="1"/>
  <c r="C148" i="1"/>
  <c r="C140" i="1"/>
  <c r="C338" i="1"/>
  <c r="C327" i="1"/>
  <c r="C65" i="1"/>
  <c r="C145" i="1"/>
  <c r="C82" i="1"/>
  <c r="C170" i="1"/>
  <c r="C10" i="1"/>
  <c r="C111" i="1"/>
  <c r="C157" i="1"/>
  <c r="C112" i="1"/>
  <c r="C27" i="1"/>
  <c r="C339" i="1"/>
  <c r="C180" i="1"/>
  <c r="C70" i="1"/>
  <c r="C174" i="1"/>
  <c r="C333" i="1"/>
  <c r="C130" i="1"/>
  <c r="C18" i="1"/>
  <c r="C173" i="1"/>
  <c r="C127" i="1"/>
  <c r="C97" i="1"/>
  <c r="C98" i="1"/>
  <c r="C99" i="1"/>
  <c r="C95" i="1"/>
  <c r="C96" i="1"/>
  <c r="C100" i="1"/>
  <c r="C102" i="1"/>
  <c r="C101" i="1"/>
  <c r="C129" i="1"/>
  <c r="C36" i="1"/>
  <c r="C136" i="1"/>
  <c r="C103" i="1"/>
  <c r="C69" i="1"/>
  <c r="C137" i="1"/>
  <c r="C166" i="1"/>
  <c r="C152" i="1"/>
  <c r="C11" i="1"/>
  <c r="C57" i="1"/>
  <c r="C78" i="1"/>
  <c r="C171" i="1"/>
  <c r="C13" i="1"/>
  <c r="C181" i="1"/>
  <c r="C153" i="1"/>
  <c r="C17" i="1"/>
  <c r="C49" i="1"/>
  <c r="C72" i="1"/>
  <c r="C31" i="1"/>
  <c r="C340" i="1"/>
  <c r="C48" i="1"/>
  <c r="C35" i="1"/>
  <c r="C156" i="1"/>
  <c r="C26" i="1"/>
  <c r="C30" i="1"/>
  <c r="C47" i="1"/>
  <c r="C316" i="1"/>
  <c r="C3" i="1"/>
  <c r="C19" i="1"/>
  <c r="C337" i="1"/>
  <c r="C50" i="1"/>
  <c r="C12" i="1"/>
  <c r="C326" i="1"/>
  <c r="C186" i="1"/>
  <c r="C113" i="1"/>
  <c r="C135" i="1"/>
  <c r="C323" i="1"/>
  <c r="C104" i="1"/>
  <c r="C15" i="1"/>
  <c r="C22" i="1"/>
  <c r="C94" i="1"/>
  <c r="B94" i="1" s="1"/>
  <c r="C16" i="1"/>
  <c r="C28" i="1"/>
  <c r="C54" i="1"/>
  <c r="C107" i="1"/>
  <c r="C64" i="1"/>
  <c r="C158" i="1"/>
  <c r="C191" i="1"/>
  <c r="C124" i="1"/>
  <c r="C24" i="1"/>
  <c r="C79" i="1"/>
  <c r="C52" i="1"/>
  <c r="C116" i="1"/>
  <c r="C51" i="1"/>
  <c r="C33" i="1"/>
  <c r="C319" i="1"/>
  <c r="C315" i="1"/>
  <c r="C42" i="1"/>
  <c r="C120" i="1"/>
  <c r="C40" i="1"/>
  <c r="C164" i="1"/>
  <c r="C328" i="1"/>
  <c r="C59" i="1"/>
  <c r="C91" i="1"/>
  <c r="C162" i="1"/>
  <c r="C325" i="1"/>
  <c r="C21" i="1"/>
  <c r="C9" i="1"/>
  <c r="C23" i="1"/>
  <c r="C32" i="1"/>
  <c r="C114" i="1"/>
  <c r="C175" i="1"/>
  <c r="C324" i="1"/>
  <c r="C320" i="1"/>
  <c r="C7" i="1"/>
  <c r="C43" i="1"/>
  <c r="C167" i="1"/>
  <c r="C55" i="1"/>
  <c r="C335" i="1"/>
  <c r="C75" i="1"/>
  <c r="C63" i="1"/>
  <c r="C142" i="1"/>
  <c r="C160" i="1"/>
  <c r="C179" i="1"/>
  <c r="C119" i="1"/>
  <c r="C5" i="1"/>
  <c r="C149" i="1"/>
  <c r="C172" i="1"/>
  <c r="C39" i="1"/>
  <c r="C163" i="1"/>
  <c r="C334" i="1"/>
  <c r="C53" i="1"/>
  <c r="C161" i="1"/>
  <c r="C185" i="1"/>
  <c r="C109" i="1"/>
  <c r="C73" i="1"/>
  <c r="C331" i="1"/>
  <c r="C330" i="1"/>
  <c r="C329" i="1"/>
  <c r="C187" i="1"/>
  <c r="C29" i="1"/>
  <c r="B147" i="2"/>
  <c r="B77" i="2"/>
  <c r="B282" i="2"/>
  <c r="B301" i="2"/>
  <c r="B55" i="2"/>
  <c r="B286" i="2"/>
  <c r="B129" i="2"/>
  <c r="B141" i="2"/>
  <c r="B125" i="2"/>
  <c r="B14" i="2"/>
  <c r="B296" i="2"/>
  <c r="B292" i="2"/>
  <c r="B38" i="2"/>
  <c r="B290" i="2"/>
  <c r="B21" i="2"/>
  <c r="B108" i="2"/>
  <c r="B25" i="2"/>
  <c r="B142" i="2"/>
  <c r="B26" i="2"/>
  <c r="B279" i="2"/>
  <c r="B132" i="2"/>
  <c r="B105" i="2"/>
  <c r="B83" i="2"/>
  <c r="B12" i="2"/>
  <c r="B148" i="2"/>
  <c r="B131" i="2"/>
  <c r="B44" i="2"/>
  <c r="B297" i="2"/>
  <c r="B293" i="2"/>
  <c r="B23" i="2"/>
  <c r="B137" i="2"/>
  <c r="B138" i="2"/>
  <c r="B45" i="2"/>
  <c r="B29" i="2"/>
  <c r="B288" i="2"/>
  <c r="B153" i="2"/>
  <c r="B31" i="2"/>
  <c r="B68" i="2"/>
  <c r="B285" i="2"/>
  <c r="B49" i="2"/>
  <c r="B127" i="2"/>
  <c r="B294" i="2"/>
  <c r="B145" i="2"/>
  <c r="B120" i="2"/>
  <c r="B13" i="2"/>
  <c r="B59" i="2"/>
  <c r="B15" i="2"/>
  <c r="B291" i="2"/>
  <c r="B37" i="2"/>
  <c r="B16" i="2"/>
  <c r="B17" i="2"/>
  <c r="B287" i="2"/>
  <c r="B104" i="2"/>
  <c r="B30" i="2"/>
  <c r="B281" i="2"/>
  <c r="B134" i="2"/>
  <c r="B78" i="2"/>
  <c r="B295" i="2"/>
  <c r="B193" i="2"/>
  <c r="B273" i="2"/>
  <c r="B256" i="2"/>
  <c r="B210" i="2"/>
  <c r="B213" i="2"/>
  <c r="B162" i="2"/>
  <c r="B215" i="2"/>
  <c r="B224" i="2"/>
  <c r="B244" i="2"/>
  <c r="B246" i="2"/>
  <c r="B159" i="2"/>
  <c r="B206" i="2"/>
  <c r="B232" i="2"/>
  <c r="B236" i="2"/>
  <c r="B163" i="2"/>
  <c r="B161" i="2"/>
  <c r="B269" i="2"/>
  <c r="B267" i="2"/>
  <c r="B208" i="2"/>
  <c r="B197" i="2"/>
  <c r="B214" i="2"/>
  <c r="B264" i="2"/>
  <c r="B186" i="2"/>
  <c r="B212" i="2"/>
  <c r="B243" i="2"/>
  <c r="B261" i="2"/>
  <c r="B247" i="2"/>
  <c r="B222" i="2"/>
  <c r="B223" i="2"/>
  <c r="B166" i="2"/>
  <c r="B207" i="2"/>
  <c r="B173" i="2"/>
  <c r="B209" i="2"/>
  <c r="B228" i="2"/>
  <c r="B259" i="2"/>
  <c r="B253" i="2"/>
  <c r="B165" i="2"/>
  <c r="B176" i="2"/>
  <c r="B227" i="2"/>
  <c r="B254" i="2"/>
  <c r="B250" i="2"/>
  <c r="B260" i="2"/>
  <c r="B235" i="2"/>
  <c r="B185" i="2"/>
  <c r="B205" i="2"/>
  <c r="B255" i="2"/>
  <c r="B268" i="2"/>
  <c r="B191" i="2"/>
  <c r="B257" i="2"/>
  <c r="B258" i="2"/>
  <c r="B174" i="2"/>
  <c r="B187" i="2"/>
  <c r="B167" i="2"/>
  <c r="B164" i="2"/>
  <c r="B211" i="2"/>
  <c r="B177" i="2"/>
  <c r="B230" i="2"/>
  <c r="B160" i="2"/>
  <c r="B175" i="2"/>
  <c r="B183" i="2"/>
  <c r="B216" i="2"/>
  <c r="B219" i="2"/>
  <c r="B238" i="2"/>
  <c r="B242" i="2"/>
  <c r="B179" i="2"/>
  <c r="B229" i="2"/>
  <c r="B204" i="2"/>
  <c r="B218" i="2"/>
  <c r="B169" i="2"/>
  <c r="B180" i="2"/>
  <c r="B192" i="2"/>
  <c r="B221" i="2"/>
  <c r="B274" i="2"/>
  <c r="B239" i="2"/>
  <c r="B178" i="2"/>
  <c r="B233" i="2"/>
  <c r="B217" i="2"/>
  <c r="B249" i="2"/>
  <c r="B202" i="2"/>
  <c r="B226" i="2"/>
  <c r="B237" i="2"/>
  <c r="B241" i="2"/>
  <c r="B220" i="2"/>
  <c r="B240" i="2"/>
  <c r="B194" i="2"/>
  <c r="B172" i="2"/>
  <c r="B272" i="2"/>
  <c r="B275" i="2"/>
  <c r="B231" i="2"/>
  <c r="B252" i="2"/>
  <c r="B158" i="2"/>
  <c r="B168" i="2"/>
  <c r="B234" i="2"/>
  <c r="B190" i="2"/>
  <c r="B195" i="2"/>
  <c r="B251" i="2"/>
  <c r="B270" i="2"/>
  <c r="B276" i="2"/>
  <c r="B184" i="2"/>
  <c r="B278" i="2"/>
  <c r="B225" i="2"/>
  <c r="B171" i="2"/>
  <c r="B201" i="2"/>
  <c r="B245" i="2"/>
  <c r="B248" i="2"/>
  <c r="B199" i="2"/>
  <c r="B157" i="2"/>
  <c r="B271" i="2"/>
  <c r="B182" i="2"/>
  <c r="B181" i="2"/>
  <c r="B277" i="2"/>
  <c r="B196" i="2"/>
  <c r="B170" i="2"/>
  <c r="B203" i="2"/>
  <c r="B198" i="2"/>
  <c r="B200" i="2"/>
  <c r="B265" i="2"/>
  <c r="B262" i="2"/>
  <c r="B188" i="2"/>
  <c r="B266" i="2"/>
  <c r="B263" i="2"/>
  <c r="B189" i="2"/>
  <c r="B70" i="2"/>
  <c r="B33" i="2"/>
  <c r="B40" i="2"/>
  <c r="B109" i="2"/>
  <c r="B24" i="2"/>
  <c r="B4" i="2"/>
  <c r="B156" i="2"/>
  <c r="B89" i="2"/>
  <c r="B112" i="2"/>
  <c r="B60" i="2"/>
  <c r="B65" i="2"/>
  <c r="B88" i="2"/>
  <c r="B57" i="2"/>
  <c r="B80" i="2"/>
  <c r="B63" i="2"/>
  <c r="B143" i="2"/>
  <c r="B121" i="2"/>
  <c r="B283" i="2"/>
  <c r="B146" i="2"/>
  <c r="B52" i="2"/>
  <c r="B43" i="2"/>
  <c r="B82" i="2"/>
  <c r="B95" i="2"/>
  <c r="B116" i="2"/>
  <c r="B91" i="2"/>
  <c r="B87" i="2"/>
  <c r="B71" i="2"/>
  <c r="B151" i="2"/>
  <c r="B93" i="2"/>
  <c r="B124" i="2"/>
  <c r="B119" i="2"/>
  <c r="B5" i="2"/>
  <c r="B113" i="2"/>
  <c r="B54" i="2"/>
  <c r="B144" i="2"/>
  <c r="B69" i="2"/>
  <c r="B2" i="2"/>
  <c r="B3" i="2"/>
  <c r="B35" i="2"/>
  <c r="B155" i="2"/>
  <c r="B64" i="2"/>
  <c r="B62" i="2"/>
  <c r="B133" i="2"/>
  <c r="B126" i="2"/>
  <c r="B110" i="2"/>
  <c r="B56" i="2"/>
  <c r="B42" i="2"/>
  <c r="B152" i="2"/>
  <c r="B98" i="2"/>
  <c r="B99" i="2"/>
  <c r="B100" i="2"/>
  <c r="B101" i="2"/>
  <c r="B86" i="2"/>
  <c r="B81" i="2"/>
  <c r="B90" i="2"/>
  <c r="B280" i="2"/>
  <c r="B32" i="2"/>
  <c r="B66" i="2"/>
  <c r="B9" i="2"/>
  <c r="B92" i="2"/>
  <c r="B48" i="2"/>
  <c r="B47" i="2"/>
  <c r="B107" i="2"/>
  <c r="B67" i="2"/>
  <c r="B115" i="2"/>
  <c r="B154" i="2"/>
  <c r="B18" i="2"/>
  <c r="B34" i="2"/>
  <c r="B114" i="2"/>
  <c r="B106" i="2"/>
  <c r="B298" i="2"/>
  <c r="B284" i="2"/>
  <c r="B46" i="2"/>
  <c r="B111" i="2"/>
  <c r="B61" i="2"/>
  <c r="B135" i="2"/>
  <c r="B6" i="2"/>
  <c r="B84" i="2"/>
  <c r="B123" i="2"/>
  <c r="B85" i="2"/>
  <c r="B20" i="2"/>
  <c r="B299" i="2"/>
  <c r="B149" i="2"/>
  <c r="B51" i="2"/>
  <c r="B140" i="2"/>
  <c r="B289" i="2"/>
  <c r="B97" i="2"/>
  <c r="B11" i="2"/>
  <c r="B139" i="2"/>
  <c r="B94" i="2"/>
  <c r="B73" i="2"/>
  <c r="B72" i="2"/>
  <c r="B74" i="2"/>
  <c r="B76" i="2"/>
  <c r="B75" i="2"/>
  <c r="B96" i="2"/>
  <c r="B28" i="2"/>
  <c r="B102" i="2"/>
  <c r="B79" i="2"/>
  <c r="B50" i="2"/>
  <c r="B103" i="2"/>
  <c r="B128" i="2"/>
  <c r="B117" i="2"/>
  <c r="B7" i="2"/>
  <c r="B41" i="2"/>
  <c r="B58" i="2"/>
  <c r="B136" i="2"/>
  <c r="B8" i="2"/>
  <c r="B150" i="2"/>
  <c r="B118" i="2"/>
  <c r="B10" i="2"/>
  <c r="B39" i="2"/>
  <c r="B53" i="2"/>
  <c r="B22" i="2"/>
  <c r="B300" i="2"/>
  <c r="B36" i="2"/>
  <c r="B27" i="2"/>
  <c r="B122" i="2"/>
  <c r="B19" i="2"/>
  <c r="B250" i="1" l="1"/>
  <c r="A183" i="1"/>
  <c r="A521" i="3"/>
  <c r="A423" i="3"/>
  <c r="A324" i="1"/>
  <c r="A14" i="1"/>
  <c r="A90" i="1"/>
  <c r="A114" i="1"/>
  <c r="A15" i="1"/>
  <c r="A166" i="1"/>
  <c r="A65" i="1"/>
  <c r="A41" i="1"/>
  <c r="A86" i="1"/>
  <c r="A314" i="1"/>
  <c r="A253" i="1"/>
  <c r="A24" i="1"/>
  <c r="A123" i="1"/>
  <c r="A11" i="1"/>
  <c r="A199" i="1"/>
  <c r="A147" i="1"/>
  <c r="A5" i="1"/>
  <c r="A32" i="1"/>
  <c r="A51" i="1"/>
  <c r="A104" i="1"/>
  <c r="A158" i="1"/>
  <c r="A176" i="1"/>
  <c r="A169" i="1"/>
  <c r="A206" i="1"/>
  <c r="A107" i="1"/>
  <c r="A81" i="1"/>
  <c r="A39" i="1"/>
  <c r="A97" i="1"/>
  <c r="A118" i="1"/>
  <c r="A164" i="1"/>
  <c r="A33" i="1"/>
  <c r="A186" i="1"/>
  <c r="A235" i="1"/>
  <c r="A298" i="1"/>
  <c r="A19" i="1"/>
  <c r="A193" i="1"/>
  <c r="A72" i="1"/>
  <c r="A36" i="1"/>
  <c r="A134" i="1"/>
  <c r="A71" i="1"/>
  <c r="A34" i="1"/>
  <c r="A156" i="1"/>
  <c r="A275" i="1"/>
  <c r="A82" i="1"/>
  <c r="A207" i="1"/>
  <c r="A102" i="1"/>
  <c r="A268" i="1"/>
  <c r="A73" i="1"/>
  <c r="A75" i="1"/>
  <c r="A91" i="1"/>
  <c r="A191" i="1"/>
  <c r="A12" i="1"/>
  <c r="A17" i="1"/>
  <c r="A101" i="1"/>
  <c r="A339" i="1"/>
  <c r="A188" i="1"/>
  <c r="A132" i="1"/>
  <c r="A74" i="1"/>
  <c r="A322" i="1"/>
  <c r="A56" i="1"/>
  <c r="A217" i="1"/>
  <c r="A269" i="1"/>
  <c r="A252" i="1"/>
  <c r="A251" i="1"/>
  <c r="A240" i="1"/>
  <c r="A258" i="1"/>
  <c r="A267" i="1"/>
  <c r="A38" i="1"/>
  <c r="A330" i="1"/>
  <c r="A173" i="1"/>
  <c r="A222" i="1"/>
  <c r="A59" i="1"/>
  <c r="A50" i="1"/>
  <c r="A153" i="1"/>
  <c r="A150" i="1"/>
  <c r="A155" i="1"/>
  <c r="A44" i="1"/>
  <c r="A307" i="1"/>
  <c r="A218" i="1"/>
  <c r="A220" i="1"/>
  <c r="A138" i="1"/>
  <c r="A161" i="1"/>
  <c r="A70" i="1"/>
  <c r="A288" i="1"/>
  <c r="A109" i="1"/>
  <c r="A203" i="1"/>
  <c r="A185" i="1"/>
  <c r="A181" i="1"/>
  <c r="A100" i="1"/>
  <c r="A89" i="1"/>
  <c r="A8" i="1"/>
  <c r="A92" i="1"/>
  <c r="A213" i="1"/>
  <c r="A210" i="1"/>
  <c r="A194" i="1"/>
  <c r="A149" i="1"/>
  <c r="A112" i="1"/>
  <c r="A257" i="1"/>
  <c r="A27" i="1"/>
  <c r="A13" i="1"/>
  <c r="A96" i="1"/>
  <c r="A157" i="1"/>
  <c r="A58" i="1"/>
  <c r="A154" i="1"/>
  <c r="A142" i="1"/>
  <c r="A45" i="1"/>
  <c r="A232" i="1"/>
  <c r="A30" i="3"/>
  <c r="A335" i="1"/>
  <c r="A141" i="1"/>
  <c r="A241" i="1"/>
  <c r="A167" i="1"/>
  <c r="A131" i="1"/>
  <c r="A245" i="1"/>
  <c r="A325" i="1"/>
  <c r="A29" i="1"/>
  <c r="B332" i="1"/>
  <c r="B300" i="1"/>
  <c r="B215" i="1"/>
  <c r="B93" i="1"/>
  <c r="B135" i="1"/>
  <c r="B106" i="1"/>
  <c r="B30" i="1"/>
  <c r="B315" i="1"/>
  <c r="B55" i="1"/>
  <c r="B328" i="1"/>
  <c r="B64" i="1"/>
  <c r="B337" i="1"/>
  <c r="B183" i="1"/>
  <c r="B176" i="1"/>
  <c r="B192" i="1"/>
  <c r="B193" i="1"/>
  <c r="B270" i="1"/>
  <c r="B282" i="1"/>
  <c r="B341" i="1"/>
  <c r="B54" i="1"/>
  <c r="B171" i="1"/>
  <c r="B111" i="1"/>
  <c r="B76" i="1"/>
  <c r="B105" i="1"/>
  <c r="B299" i="1"/>
  <c r="B283" i="1"/>
  <c r="B278" i="1"/>
  <c r="B279" i="1"/>
  <c r="B40" i="1"/>
  <c r="A193" i="3"/>
  <c r="A367" i="3"/>
  <c r="A62" i="3"/>
  <c r="A352" i="3"/>
  <c r="A11" i="3"/>
  <c r="A160" i="3"/>
  <c r="A328" i="1"/>
  <c r="A337" i="1"/>
  <c r="A270" i="1"/>
  <c r="A116" i="2"/>
  <c r="A276" i="2"/>
  <c r="A297" i="2"/>
  <c r="A556" i="3"/>
  <c r="A490" i="3"/>
  <c r="A315" i="1"/>
  <c r="A30" i="1"/>
  <c r="A111" i="3"/>
  <c r="A467" i="3"/>
  <c r="A282" i="1"/>
  <c r="A41" i="3"/>
  <c r="A201" i="2"/>
  <c r="A173" i="2"/>
  <c r="A4" i="2"/>
  <c r="A215" i="1"/>
  <c r="A396" i="3"/>
  <c r="A55" i="1"/>
  <c r="A64" i="1"/>
  <c r="A155" i="3"/>
  <c r="A358" i="3"/>
  <c r="A94" i="1"/>
  <c r="A191" i="2"/>
  <c r="A52" i="3"/>
  <c r="A391" i="3"/>
  <c r="A519" i="3"/>
  <c r="A131" i="2"/>
  <c r="A320" i="3"/>
  <c r="A122" i="2"/>
  <c r="A268" i="2"/>
  <c r="A59" i="3"/>
  <c r="A132" i="2"/>
  <c r="B255" i="1"/>
  <c r="A93" i="1"/>
  <c r="A192" i="1"/>
  <c r="A341" i="1"/>
  <c r="A234" i="1"/>
  <c r="A287" i="1"/>
  <c r="A274" i="1"/>
  <c r="A296" i="1"/>
  <c r="A281" i="1"/>
  <c r="A80" i="1"/>
  <c r="A53" i="1"/>
  <c r="A43" i="1"/>
  <c r="A40" i="1"/>
  <c r="A54" i="1"/>
  <c r="A3" i="1"/>
  <c r="A171" i="1"/>
  <c r="A95" i="1"/>
  <c r="A111" i="1"/>
  <c r="A66" i="1"/>
  <c r="A76" i="1"/>
  <c r="A159" i="1"/>
  <c r="A105" i="1"/>
  <c r="A299" i="1"/>
  <c r="A283" i="1"/>
  <c r="A266" i="1"/>
  <c r="A310" i="1"/>
  <c r="A265" i="1"/>
  <c r="A285" i="1"/>
  <c r="A278" i="1"/>
  <c r="A279" i="1"/>
  <c r="A20" i="1"/>
  <c r="A224" i="1"/>
  <c r="A297" i="1"/>
  <c r="A7" i="1"/>
  <c r="A120" i="1"/>
  <c r="A28" i="1"/>
  <c r="A316" i="1"/>
  <c r="A78" i="1"/>
  <c r="A99" i="1"/>
  <c r="A10" i="1"/>
  <c r="A67" i="1"/>
  <c r="A144" i="1"/>
  <c r="A126" i="1"/>
  <c r="A84" i="1"/>
  <c r="A302" i="1"/>
  <c r="A280" i="1"/>
  <c r="A311" i="1"/>
  <c r="A256" i="1"/>
  <c r="A212" i="1"/>
  <c r="A289" i="1"/>
  <c r="A247" i="1"/>
  <c r="A259" i="1"/>
  <c r="A68" i="1"/>
  <c r="A85" i="1"/>
  <c r="A195" i="1"/>
  <c r="A334" i="1"/>
  <c r="A163" i="1"/>
  <c r="A320" i="1"/>
  <c r="A42" i="1"/>
  <c r="A16" i="1"/>
  <c r="A47" i="1"/>
  <c r="A57" i="1"/>
  <c r="A98" i="1"/>
  <c r="A170" i="1"/>
  <c r="A125" i="1"/>
  <c r="A165" i="1"/>
  <c r="A182" i="1"/>
  <c r="A77" i="1"/>
  <c r="A223" i="1"/>
  <c r="A236" i="1"/>
  <c r="A308" i="1"/>
  <c r="A227" i="1"/>
  <c r="A246" i="1"/>
  <c r="A262" i="1"/>
  <c r="A221" i="1"/>
  <c r="A250" i="1"/>
  <c r="A184" i="1"/>
  <c r="A332" i="1"/>
  <c r="A211" i="1"/>
  <c r="A300" i="1"/>
  <c r="A197" i="1"/>
  <c r="A172" i="1"/>
  <c r="A175" i="1"/>
  <c r="A319" i="1"/>
  <c r="A22" i="1"/>
  <c r="A26" i="1"/>
  <c r="A152" i="1"/>
  <c r="A127" i="1"/>
  <c r="A145" i="1"/>
  <c r="A88" i="1"/>
  <c r="A83" i="1"/>
  <c r="A117" i="1"/>
  <c r="A87" i="1"/>
  <c r="A301" i="1"/>
  <c r="A260" i="1"/>
  <c r="A229" i="1"/>
  <c r="A204" i="1"/>
  <c r="A202" i="1"/>
  <c r="A200" i="1"/>
  <c r="A249" i="1"/>
  <c r="A248" i="1"/>
  <c r="A37" i="1"/>
  <c r="A62" i="1"/>
  <c r="A61" i="1"/>
  <c r="A137" i="1"/>
  <c r="A327" i="1"/>
  <c r="A189" i="1"/>
  <c r="A151" i="1"/>
  <c r="A219" i="1"/>
  <c r="A239" i="1"/>
  <c r="A295" i="1"/>
  <c r="A291" i="1"/>
  <c r="A119" i="1"/>
  <c r="A23" i="1"/>
  <c r="A116" i="1"/>
  <c r="A323" i="1"/>
  <c r="A48" i="1"/>
  <c r="A69" i="1"/>
  <c r="A130" i="1"/>
  <c r="A338" i="1"/>
  <c r="A122" i="1"/>
  <c r="A46" i="1"/>
  <c r="A128" i="1"/>
  <c r="A121" i="1"/>
  <c r="A238" i="1"/>
  <c r="A312" i="1"/>
  <c r="A276" i="1"/>
  <c r="A264" i="1"/>
  <c r="A293" i="1"/>
  <c r="A263" i="1"/>
  <c r="A303" i="1"/>
  <c r="A309" i="1"/>
  <c r="A110" i="1"/>
  <c r="A18" i="1"/>
  <c r="A318" i="1"/>
  <c r="A146" i="1"/>
  <c r="A255" i="1"/>
  <c r="A209" i="1"/>
  <c r="A243" i="1"/>
  <c r="A187" i="1"/>
  <c r="A179" i="1"/>
  <c r="A9" i="1"/>
  <c r="A52" i="1"/>
  <c r="A135" i="1"/>
  <c r="A340" i="1"/>
  <c r="A103" i="1"/>
  <c r="A333" i="1"/>
  <c r="A140" i="1"/>
  <c r="A106" i="1"/>
  <c r="A4" i="1"/>
  <c r="A108" i="1"/>
  <c r="A190" i="1"/>
  <c r="A205" i="1"/>
  <c r="A306" i="1"/>
  <c r="A272" i="1"/>
  <c r="A214" i="1"/>
  <c r="A292" i="1"/>
  <c r="A244" i="1"/>
  <c r="A305" i="1"/>
  <c r="A228" i="1"/>
  <c r="A139" i="1"/>
  <c r="A35" i="1"/>
  <c r="A233" i="1"/>
  <c r="A329" i="1"/>
  <c r="A160" i="1"/>
  <c r="A21" i="1"/>
  <c r="A79" i="1"/>
  <c r="A113" i="1"/>
  <c r="A31" i="1"/>
  <c r="A136" i="1"/>
  <c r="A174" i="1"/>
  <c r="A148" i="1"/>
  <c r="A115" i="1"/>
  <c r="A2" i="1"/>
  <c r="A60" i="1"/>
  <c r="A6" i="1"/>
  <c r="A231" i="1"/>
  <c r="A286" i="1"/>
  <c r="A261" i="1"/>
  <c r="A277" i="1"/>
  <c r="A226" i="1"/>
  <c r="A208" i="1"/>
  <c r="A196" i="1"/>
  <c r="A294" i="1"/>
  <c r="A168" i="1"/>
  <c r="A317" i="1"/>
  <c r="A313" i="1"/>
  <c r="A230" i="1"/>
  <c r="A237" i="1"/>
  <c r="A273" i="1"/>
  <c r="A304" i="1"/>
  <c r="A242" i="1"/>
  <c r="A198" i="1"/>
  <c r="A336" i="1"/>
  <c r="A331" i="1"/>
  <c r="A63" i="1"/>
  <c r="A162" i="1"/>
  <c r="A124" i="1"/>
  <c r="A326" i="1"/>
  <c r="A49" i="1"/>
  <c r="A129" i="1"/>
  <c r="A180" i="1"/>
  <c r="A25" i="1"/>
  <c r="A133" i="1"/>
  <c r="A177" i="1"/>
  <c r="A178" i="1"/>
  <c r="A143" i="1"/>
  <c r="A216" i="1"/>
  <c r="A225" i="1"/>
  <c r="A284" i="1"/>
  <c r="A254" i="1"/>
  <c r="A290" i="1"/>
  <c r="A201" i="1"/>
  <c r="A271" i="1"/>
  <c r="A321" i="1"/>
  <c r="B179" i="1"/>
  <c r="B57" i="1"/>
  <c r="B140" i="1"/>
  <c r="B154" i="1"/>
  <c r="B298" i="1"/>
  <c r="B272" i="1"/>
  <c r="B197" i="1"/>
  <c r="B160" i="1"/>
  <c r="B16" i="1"/>
  <c r="B11" i="1"/>
  <c r="B89" i="1"/>
  <c r="B126" i="1"/>
  <c r="B301" i="1"/>
  <c r="B213" i="1"/>
  <c r="B296" i="1"/>
  <c r="B291" i="1"/>
  <c r="A56" i="3"/>
  <c r="A304" i="3"/>
  <c r="A377" i="3"/>
  <c r="A487" i="3"/>
  <c r="B69" i="1"/>
  <c r="B141" i="1"/>
  <c r="B233" i="1"/>
  <c r="B274" i="1"/>
  <c r="B262" i="1"/>
  <c r="B309" i="1"/>
  <c r="B167" i="1"/>
  <c r="B200" i="1"/>
  <c r="A4" i="3"/>
  <c r="A548" i="3"/>
  <c r="A85" i="3"/>
  <c r="A484" i="3"/>
  <c r="B320" i="1"/>
  <c r="B323" i="1"/>
  <c r="B96" i="1"/>
  <c r="B67" i="1"/>
  <c r="B128" i="1"/>
  <c r="B227" i="1"/>
  <c r="B263" i="1"/>
  <c r="B294" i="1"/>
  <c r="B104" i="1"/>
  <c r="B228" i="1"/>
  <c r="A91" i="3"/>
  <c r="A82" i="3"/>
  <c r="A360" i="3"/>
  <c r="A480" i="3"/>
  <c r="B175" i="1"/>
  <c r="B99" i="1"/>
  <c r="B125" i="1"/>
  <c r="B60" i="1"/>
  <c r="B208" i="1"/>
  <c r="A102" i="3"/>
  <c r="A496" i="3"/>
  <c r="A207" i="2"/>
  <c r="B23" i="1"/>
  <c r="B113" i="1"/>
  <c r="B98" i="1"/>
  <c r="B318" i="1"/>
  <c r="B236" i="1"/>
  <c r="B204" i="1"/>
  <c r="B68" i="1"/>
  <c r="A312" i="3"/>
  <c r="A191" i="3"/>
  <c r="A178" i="3"/>
  <c r="A318" i="3"/>
  <c r="A205" i="3"/>
  <c r="A469" i="3"/>
  <c r="B21" i="1"/>
  <c r="B127" i="1"/>
  <c r="B85" i="1"/>
  <c r="B260" i="1"/>
  <c r="B239" i="1"/>
  <c r="B136" i="1"/>
  <c r="A563" i="3"/>
  <c r="A244" i="3"/>
  <c r="A371" i="3"/>
  <c r="A46" i="3"/>
  <c r="B316" i="1"/>
  <c r="B18" i="1"/>
  <c r="B219" i="1"/>
  <c r="B277" i="1"/>
  <c r="B247" i="1"/>
  <c r="B139" i="1"/>
  <c r="B149" i="1"/>
  <c r="B114" i="1"/>
  <c r="B33" i="1"/>
  <c r="B15" i="1"/>
  <c r="B156" i="1"/>
  <c r="B166" i="1"/>
  <c r="B173" i="1"/>
  <c r="B65" i="1"/>
  <c r="B41" i="1"/>
  <c r="B86" i="1"/>
  <c r="B123" i="1"/>
  <c r="B81" i="1"/>
  <c r="B235" i="1"/>
  <c r="B314" i="1"/>
  <c r="B275" i="1"/>
  <c r="B253" i="1"/>
  <c r="B222" i="1"/>
  <c r="B288" i="1"/>
  <c r="B232" i="1"/>
  <c r="B245" i="1"/>
  <c r="B66" i="1"/>
  <c r="A23" i="3"/>
  <c r="A357" i="3"/>
  <c r="A536" i="3"/>
  <c r="A104" i="3"/>
  <c r="A126" i="3"/>
  <c r="A383" i="3"/>
  <c r="B130" i="1"/>
  <c r="B84" i="1"/>
  <c r="B306" i="1"/>
  <c r="B195" i="1"/>
  <c r="B221" i="1"/>
  <c r="B168" i="1"/>
  <c r="B238" i="1"/>
  <c r="A115" i="3"/>
  <c r="A190" i="3"/>
  <c r="A54" i="3"/>
  <c r="A90" i="3"/>
  <c r="A374" i="3"/>
  <c r="B329" i="1"/>
  <c r="B120" i="1"/>
  <c r="B35" i="1"/>
  <c r="B333" i="1"/>
  <c r="B144" i="1"/>
  <c r="B87" i="1"/>
  <c r="B286" i="1"/>
  <c r="B212" i="1"/>
  <c r="B151" i="1"/>
  <c r="A554" i="3"/>
  <c r="A524" i="3"/>
  <c r="A523" i="3"/>
  <c r="A542" i="3"/>
  <c r="A18" i="3"/>
  <c r="B161" i="1"/>
  <c r="B42" i="1"/>
  <c r="B340" i="1"/>
  <c r="B174" i="1"/>
  <c r="B169" i="1"/>
  <c r="B121" i="1"/>
  <c r="B199" i="1"/>
  <c r="B249" i="1"/>
  <c r="B256" i="1"/>
  <c r="A77" i="3"/>
  <c r="A543" i="3"/>
  <c r="A36" i="3"/>
  <c r="A364" i="3"/>
  <c r="A2" i="3"/>
  <c r="B334" i="1"/>
  <c r="B31" i="1"/>
  <c r="B83" i="1"/>
  <c r="B6" i="1"/>
  <c r="B287" i="1"/>
  <c r="B202" i="1"/>
  <c r="B305" i="1"/>
  <c r="B39" i="1"/>
  <c r="B319" i="1"/>
  <c r="B13" i="1"/>
  <c r="B170" i="1"/>
  <c r="B189" i="1"/>
  <c r="B224" i="1"/>
  <c r="B266" i="1"/>
  <c r="B293" i="1"/>
  <c r="B194" i="1"/>
  <c r="B330" i="1"/>
  <c r="B142" i="1"/>
  <c r="B325" i="1"/>
  <c r="B24" i="1"/>
  <c r="B186" i="1"/>
  <c r="B72" i="1"/>
  <c r="B36" i="1"/>
  <c r="B70" i="1"/>
  <c r="B45" i="1"/>
  <c r="B134" i="1"/>
  <c r="B90" i="1"/>
  <c r="B71" i="1"/>
  <c r="B34" i="1"/>
  <c r="B313" i="1"/>
  <c r="B230" i="1"/>
  <c r="B237" i="1"/>
  <c r="B273" i="1"/>
  <c r="B304" i="1"/>
  <c r="B242" i="1"/>
  <c r="B198" i="1"/>
  <c r="B336" i="1"/>
  <c r="A93" i="2"/>
  <c r="B172" i="1"/>
  <c r="B52" i="1"/>
  <c r="B145" i="1"/>
  <c r="B46" i="1"/>
  <c r="B207" i="1"/>
  <c r="B292" i="1"/>
  <c r="B331" i="1"/>
  <c r="B63" i="1"/>
  <c r="B162" i="1"/>
  <c r="B124" i="1"/>
  <c r="B326" i="1"/>
  <c r="B49" i="1"/>
  <c r="B129" i="1"/>
  <c r="B180" i="1"/>
  <c r="B25" i="1"/>
  <c r="B133" i="1"/>
  <c r="B177" i="1"/>
  <c r="B178" i="1"/>
  <c r="B143" i="1"/>
  <c r="B216" i="1"/>
  <c r="B225" i="1"/>
  <c r="B284" i="1"/>
  <c r="B254" i="1"/>
  <c r="B290" i="1"/>
  <c r="B201" i="1"/>
  <c r="B271" i="1"/>
  <c r="B321" i="1"/>
  <c r="B248" i="1"/>
  <c r="A83" i="3"/>
  <c r="A530" i="3"/>
  <c r="A119" i="3"/>
  <c r="B119" i="1"/>
  <c r="B78" i="1"/>
  <c r="B338" i="1"/>
  <c r="B4" i="1"/>
  <c r="B223" i="1"/>
  <c r="B226" i="1"/>
  <c r="B73" i="1"/>
  <c r="B75" i="1"/>
  <c r="B91" i="1"/>
  <c r="B191" i="1"/>
  <c r="B12" i="1"/>
  <c r="B17" i="1"/>
  <c r="B101" i="1"/>
  <c r="B339" i="1"/>
  <c r="B188" i="1"/>
  <c r="B132" i="1"/>
  <c r="B74" i="1"/>
  <c r="B322" i="1"/>
  <c r="B56" i="1"/>
  <c r="B217" i="1"/>
  <c r="B269" i="1"/>
  <c r="B252" i="1"/>
  <c r="B251" i="1"/>
  <c r="B240" i="1"/>
  <c r="B258" i="1"/>
  <c r="B267" i="1"/>
  <c r="A195" i="2"/>
  <c r="A130" i="2"/>
  <c r="B43" i="1"/>
  <c r="B51" i="1"/>
  <c r="B19" i="1"/>
  <c r="B152" i="1"/>
  <c r="B112" i="1"/>
  <c r="B14" i="1"/>
  <c r="B2" i="1"/>
  <c r="B77" i="1"/>
  <c r="B205" i="1"/>
  <c r="B311" i="1"/>
  <c r="B264" i="1"/>
  <c r="B285" i="1"/>
  <c r="B243" i="1"/>
  <c r="B80" i="1"/>
  <c r="B109" i="1"/>
  <c r="B335" i="1"/>
  <c r="B59" i="1"/>
  <c r="B158" i="1"/>
  <c r="B50" i="1"/>
  <c r="B153" i="1"/>
  <c r="B102" i="1"/>
  <c r="B27" i="1"/>
  <c r="B150" i="1"/>
  <c r="B131" i="1"/>
  <c r="B147" i="1"/>
  <c r="B155" i="1"/>
  <c r="B44" i="1"/>
  <c r="B307" i="1"/>
  <c r="B203" i="1"/>
  <c r="B268" i="1"/>
  <c r="B218" i="1"/>
  <c r="B220" i="1"/>
  <c r="B257" i="1"/>
  <c r="B241" i="1"/>
  <c r="B138" i="1"/>
  <c r="B187" i="1"/>
  <c r="B7" i="1"/>
  <c r="B116" i="1"/>
  <c r="B3" i="1"/>
  <c r="B137" i="1"/>
  <c r="B157" i="1"/>
  <c r="B88" i="1"/>
  <c r="B8" i="1"/>
  <c r="B118" i="1"/>
  <c r="B231" i="1"/>
  <c r="B308" i="1"/>
  <c r="B214" i="1"/>
  <c r="B289" i="1"/>
  <c r="B303" i="1"/>
  <c r="B20" i="1"/>
  <c r="B185" i="1"/>
  <c r="B324" i="1"/>
  <c r="B79" i="1"/>
  <c r="B47" i="1"/>
  <c r="B103" i="1"/>
  <c r="B10" i="1"/>
  <c r="B122" i="1"/>
  <c r="B159" i="1"/>
  <c r="B146" i="1"/>
  <c r="B234" i="1"/>
  <c r="B229" i="1"/>
  <c r="B210" i="1"/>
  <c r="B211" i="1"/>
  <c r="B196" i="1"/>
  <c r="B184" i="1"/>
  <c r="B53" i="1"/>
  <c r="B32" i="1"/>
  <c r="B107" i="1"/>
  <c r="B26" i="1"/>
  <c r="B100" i="1"/>
  <c r="B82" i="1"/>
  <c r="B115" i="1"/>
  <c r="B182" i="1"/>
  <c r="B190" i="1"/>
  <c r="B280" i="1"/>
  <c r="B276" i="1"/>
  <c r="B265" i="1"/>
  <c r="B295" i="1"/>
  <c r="B281" i="1"/>
  <c r="B37" i="1"/>
  <c r="B61" i="1"/>
  <c r="B163" i="1"/>
  <c r="B9" i="1"/>
  <c r="B28" i="1"/>
  <c r="B48" i="1"/>
  <c r="B95" i="1"/>
  <c r="B327" i="1"/>
  <c r="B58" i="1"/>
  <c r="B117" i="1"/>
  <c r="B92" i="1"/>
  <c r="B206" i="1"/>
  <c r="B261" i="1"/>
  <c r="B246" i="1"/>
  <c r="B244" i="1"/>
  <c r="B259" i="1"/>
  <c r="B110" i="1"/>
  <c r="B62" i="1"/>
  <c r="B5" i="1"/>
  <c r="B164" i="1"/>
  <c r="B22" i="1"/>
  <c r="B181" i="1"/>
  <c r="B97" i="1"/>
  <c r="B148" i="1"/>
  <c r="B165" i="1"/>
  <c r="B108" i="1"/>
  <c r="B302" i="1"/>
  <c r="B312" i="1"/>
  <c r="B310" i="1"/>
  <c r="B209" i="1"/>
  <c r="B297" i="1"/>
  <c r="B317" i="1"/>
  <c r="A17" i="3"/>
  <c r="A232" i="3"/>
  <c r="A114" i="3"/>
  <c r="A473" i="3"/>
  <c r="A209" i="3"/>
  <c r="A203" i="3"/>
  <c r="A195" i="3"/>
  <c r="A372" i="3"/>
  <c r="A243" i="3"/>
  <c r="A470" i="3"/>
  <c r="A140" i="2"/>
  <c r="A143" i="3"/>
  <c r="A298" i="3"/>
  <c r="A313" i="3"/>
  <c r="A96" i="3"/>
  <c r="A88" i="3"/>
  <c r="A366" i="3"/>
  <c r="A162" i="3"/>
  <c r="A225" i="3"/>
  <c r="A514" i="3"/>
  <c r="A415" i="3"/>
  <c r="A322" i="3"/>
  <c r="A20" i="2"/>
  <c r="A341" i="3"/>
  <c r="A535" i="3"/>
  <c r="A124" i="3"/>
  <c r="A121" i="3"/>
  <c r="A418" i="3"/>
  <c r="A150" i="2"/>
  <c r="A148" i="2"/>
  <c r="A486" i="3"/>
  <c r="A492" i="3"/>
  <c r="A460" i="3"/>
  <c r="A410" i="3"/>
  <c r="A438" i="3"/>
  <c r="A79" i="3"/>
  <c r="A103" i="3"/>
  <c r="A186" i="3"/>
  <c r="A531" i="3"/>
  <c r="A291" i="3"/>
  <c r="A262" i="3"/>
  <c r="A172" i="3"/>
  <c r="A560" i="3"/>
  <c r="A218" i="3"/>
  <c r="A226" i="3"/>
  <c r="A363" i="3"/>
  <c r="A344" i="3"/>
  <c r="A386" i="3"/>
  <c r="A47" i="3"/>
  <c r="A540" i="3"/>
  <c r="A249" i="3"/>
  <c r="A349" i="3"/>
  <c r="A230" i="3"/>
  <c r="A273" i="2"/>
  <c r="A229" i="2"/>
  <c r="A188" i="2"/>
  <c r="A98" i="2"/>
  <c r="A103" i="2"/>
  <c r="A80" i="3"/>
  <c r="A516" i="3"/>
  <c r="A168" i="3"/>
  <c r="A100" i="3"/>
  <c r="A308" i="3"/>
  <c r="A333" i="3"/>
  <c r="A86" i="2"/>
  <c r="A279" i="3"/>
  <c r="A507" i="3"/>
  <c r="A392" i="3"/>
  <c r="A354" i="3"/>
  <c r="A101" i="3"/>
  <c r="B38" i="1"/>
  <c r="A432" i="3"/>
  <c r="A412" i="3"/>
  <c r="A301" i="3"/>
  <c r="A132" i="3"/>
  <c r="A263" i="3"/>
  <c r="A330" i="3"/>
  <c r="A60" i="3"/>
  <c r="A51" i="3"/>
  <c r="A348" i="3"/>
  <c r="A134" i="3"/>
  <c r="A356" i="3"/>
  <c r="A376" i="3"/>
  <c r="A105" i="3"/>
  <c r="A185" i="3"/>
  <c r="A219" i="3"/>
  <c r="A280" i="3"/>
  <c r="A38" i="3"/>
  <c r="A310" i="3"/>
  <c r="A94" i="3"/>
  <c r="A359" i="3"/>
  <c r="A296" i="3"/>
  <c r="A500" i="3"/>
  <c r="A211" i="3"/>
  <c r="A15" i="3"/>
  <c r="A92" i="3"/>
  <c r="A8" i="3"/>
  <c r="A252" i="3"/>
  <c r="A184" i="3"/>
  <c r="A293" i="3"/>
  <c r="A369" i="3"/>
  <c r="A306" i="3"/>
  <c r="A276" i="3"/>
  <c r="A49" i="3"/>
  <c r="A127" i="3"/>
  <c r="A382" i="3"/>
  <c r="A286" i="3"/>
  <c r="A106" i="3"/>
  <c r="A192" i="3"/>
  <c r="A166" i="3"/>
  <c r="A141" i="3"/>
  <c r="A518" i="3"/>
  <c r="A393" i="3"/>
  <c r="A212" i="3"/>
  <c r="A337" i="3"/>
  <c r="A250" i="3"/>
  <c r="A551" i="3"/>
  <c r="A72" i="3"/>
  <c r="A67" i="3"/>
  <c r="A199" i="3"/>
  <c r="A325" i="3"/>
  <c r="A161" i="3"/>
  <c r="A78" i="3"/>
  <c r="A138" i="3"/>
  <c r="A148" i="3"/>
  <c r="A509" i="3"/>
  <c r="A442" i="3"/>
  <c r="A116" i="3"/>
  <c r="A122" i="3"/>
  <c r="A182" i="3"/>
  <c r="A275" i="3"/>
  <c r="A176" i="3"/>
  <c r="A70" i="2"/>
  <c r="A39" i="3"/>
  <c r="A429" i="3"/>
  <c r="A475" i="3"/>
  <c r="A375" i="3"/>
  <c r="A108" i="3"/>
  <c r="A159" i="3"/>
  <c r="A258" i="3"/>
  <c r="A544" i="3"/>
  <c r="A546" i="3"/>
  <c r="A24" i="2"/>
  <c r="A7" i="2"/>
  <c r="A315" i="3"/>
  <c r="A29" i="3"/>
  <c r="A491" i="3"/>
  <c r="A504" i="3"/>
  <c r="A342" i="3"/>
  <c r="A113" i="3"/>
  <c r="A12" i="3"/>
  <c r="A311" i="3"/>
  <c r="A380" i="3"/>
  <c r="A527" i="3"/>
  <c r="A14" i="2"/>
  <c r="A161" i="2"/>
  <c r="A202" i="2"/>
  <c r="A163" i="3"/>
  <c r="A350" i="3"/>
  <c r="A259" i="3"/>
  <c r="A125" i="3"/>
  <c r="A125" i="2"/>
  <c r="A163" i="2"/>
  <c r="A178" i="2"/>
  <c r="A179" i="3"/>
  <c r="A428" i="3"/>
  <c r="A520" i="3"/>
  <c r="A552" i="3"/>
  <c r="A22" i="3"/>
  <c r="A522" i="3"/>
  <c r="A255" i="3"/>
  <c r="A159" i="2"/>
  <c r="A192" i="2"/>
  <c r="A128" i="2"/>
  <c r="A506" i="3"/>
  <c r="A426" i="3"/>
  <c r="A75" i="3"/>
  <c r="A378" i="3"/>
  <c r="A334" i="3"/>
  <c r="A150" i="3"/>
  <c r="A549" i="3"/>
  <c r="A81" i="2"/>
  <c r="A406" i="3"/>
  <c r="A284" i="3"/>
  <c r="A239" i="3"/>
  <c r="A274" i="3"/>
  <c r="A550" i="3"/>
  <c r="A86" i="3"/>
  <c r="A68" i="3"/>
  <c r="A61" i="3"/>
  <c r="A221" i="3"/>
  <c r="A3" i="3"/>
  <c r="A534" i="3"/>
  <c r="A13" i="3"/>
  <c r="A353" i="3"/>
  <c r="A247" i="2"/>
  <c r="A241" i="2"/>
  <c r="A57" i="2"/>
  <c r="A115" i="2"/>
  <c r="A27" i="2"/>
  <c r="A271" i="3"/>
  <c r="A210" i="3"/>
  <c r="A118" i="3"/>
  <c r="A408" i="3"/>
  <c r="A472" i="3"/>
  <c r="A483" i="3"/>
  <c r="A443" i="3"/>
  <c r="A139" i="3"/>
  <c r="A373" i="3"/>
  <c r="A144" i="3"/>
  <c r="A197" i="3"/>
  <c r="A208" i="3"/>
  <c r="A266" i="3"/>
  <c r="A316" i="3"/>
  <c r="A107" i="3"/>
  <c r="A240" i="3"/>
  <c r="A183" i="3"/>
  <c r="A505" i="3"/>
  <c r="A28" i="3"/>
  <c r="A547" i="3"/>
  <c r="A338" i="3"/>
  <c r="A109" i="3"/>
  <c r="A27" i="3"/>
  <c r="A71" i="3"/>
  <c r="A365" i="3"/>
  <c r="A300" i="3"/>
  <c r="A99" i="3"/>
  <c r="A299" i="3"/>
  <c r="A388" i="3"/>
  <c r="A517" i="3"/>
  <c r="A390" i="3"/>
  <c r="A251" i="2"/>
  <c r="A302" i="3"/>
  <c r="A389" i="3"/>
  <c r="A173" i="3"/>
  <c r="A69" i="3"/>
  <c r="A40" i="3"/>
  <c r="A95" i="3"/>
  <c r="A381" i="3"/>
  <c r="A152" i="3"/>
  <c r="A414" i="3"/>
  <c r="A449" i="3"/>
  <c r="A97" i="3"/>
  <c r="A6" i="2"/>
  <c r="A158" i="2"/>
  <c r="A154" i="3"/>
  <c r="A201" i="3"/>
  <c r="A6" i="3"/>
  <c r="A16" i="3"/>
  <c r="A188" i="3"/>
  <c r="A158" i="3"/>
  <c r="A202" i="3"/>
  <c r="A397" i="3"/>
  <c r="A482" i="3"/>
  <c r="A454" i="3"/>
  <c r="A247" i="3"/>
  <c r="A284" i="2"/>
  <c r="A272" i="2"/>
  <c r="A245" i="3"/>
  <c r="A462" i="3"/>
  <c r="A457" i="3"/>
  <c r="A234" i="3"/>
  <c r="A106" i="2"/>
  <c r="A331" i="3"/>
  <c r="A231" i="3"/>
  <c r="A45" i="3"/>
  <c r="A444" i="3"/>
  <c r="A404" i="3"/>
  <c r="A264" i="3"/>
  <c r="A114" i="2"/>
  <c r="A541" i="3"/>
  <c r="A117" i="3"/>
  <c r="A242" i="3"/>
  <c r="A175" i="3"/>
  <c r="A33" i="3"/>
  <c r="A120" i="3"/>
  <c r="A525" i="3"/>
  <c r="A224" i="3"/>
  <c r="A446" i="3"/>
  <c r="A515" i="3"/>
  <c r="A261" i="3"/>
  <c r="A280" i="2"/>
  <c r="A235" i="2"/>
  <c r="A329" i="3"/>
  <c r="A44" i="3"/>
  <c r="A98" i="3"/>
  <c r="A73" i="3"/>
  <c r="A180" i="3"/>
  <c r="A268" i="3"/>
  <c r="A130" i="3"/>
  <c r="A430" i="3"/>
  <c r="A471" i="3"/>
  <c r="A283" i="3"/>
  <c r="A269" i="3"/>
  <c r="A113" i="2"/>
  <c r="A228" i="2"/>
  <c r="A145" i="3"/>
  <c r="A227" i="3"/>
  <c r="A528" i="3"/>
  <c r="A196" i="3"/>
  <c r="A32" i="3"/>
  <c r="A42" i="3"/>
  <c r="A307" i="3"/>
  <c r="A251" i="3"/>
  <c r="A562" i="3"/>
  <c r="A513" i="3"/>
  <c r="A461" i="3"/>
  <c r="A529" i="3"/>
  <c r="A533" i="3"/>
  <c r="A82" i="2"/>
  <c r="A294" i="2"/>
  <c r="A233" i="3"/>
  <c r="A7" i="3"/>
  <c r="A321" i="3"/>
  <c r="A157" i="3"/>
  <c r="A399" i="3"/>
  <c r="A425" i="3"/>
  <c r="A559" i="3"/>
  <c r="A277" i="3"/>
  <c r="A43" i="2"/>
  <c r="A127" i="2"/>
  <c r="A453" i="3"/>
  <c r="A133" i="3"/>
  <c r="A229" i="3"/>
  <c r="A121" i="2"/>
  <c r="A31" i="2"/>
  <c r="A194" i="3"/>
  <c r="A319" i="3"/>
  <c r="A236" i="3"/>
  <c r="A14" i="3"/>
  <c r="A246" i="3"/>
  <c r="A532" i="3"/>
  <c r="A137" i="3"/>
  <c r="A327" i="3"/>
  <c r="A278" i="3"/>
  <c r="A508" i="3"/>
  <c r="A413" i="3"/>
  <c r="A468" i="3"/>
  <c r="A419" i="3"/>
  <c r="A485" i="3"/>
  <c r="A84" i="3"/>
  <c r="A89" i="3"/>
  <c r="A270" i="3"/>
  <c r="A53" i="2"/>
  <c r="A48" i="2"/>
  <c r="A89" i="2"/>
  <c r="A226" i="2"/>
  <c r="A267" i="2"/>
  <c r="A292" i="2"/>
  <c r="A26" i="3"/>
  <c r="A295" i="3"/>
  <c r="A66" i="3"/>
  <c r="A24" i="3"/>
  <c r="A553" i="3"/>
  <c r="A351" i="3"/>
  <c r="A156" i="3"/>
  <c r="A309" i="3"/>
  <c r="A10" i="3"/>
  <c r="A165" i="3"/>
  <c r="A129" i="3"/>
  <c r="A346" i="3"/>
  <c r="A153" i="3"/>
  <c r="A440" i="3"/>
  <c r="A493" i="3"/>
  <c r="A463" i="3"/>
  <c r="A433" i="3"/>
  <c r="A403" i="3"/>
  <c r="A362" i="3"/>
  <c r="A87" i="3"/>
  <c r="A332" i="3"/>
  <c r="A28" i="2"/>
  <c r="A110" i="2"/>
  <c r="A203" i="2"/>
  <c r="A242" i="2"/>
  <c r="A295" i="2"/>
  <c r="A235" i="3"/>
  <c r="A198" i="3"/>
  <c r="A43" i="3"/>
  <c r="A171" i="3"/>
  <c r="A537" i="3"/>
  <c r="A177" i="3"/>
  <c r="A34" i="3"/>
  <c r="A445" i="3"/>
  <c r="A437" i="3"/>
  <c r="A434" i="3"/>
  <c r="A510" i="3"/>
  <c r="A405" i="3"/>
  <c r="A64" i="3"/>
  <c r="A290" i="3"/>
  <c r="A169" i="3"/>
  <c r="A74" i="2"/>
  <c r="A155" i="2"/>
  <c r="A196" i="2"/>
  <c r="A238" i="2"/>
  <c r="A78" i="2"/>
  <c r="A38" i="2"/>
  <c r="A422" i="3"/>
  <c r="A497" i="3"/>
  <c r="A478" i="3"/>
  <c r="A35" i="3"/>
  <c r="A335" i="3"/>
  <c r="A213" i="3"/>
  <c r="A11" i="2"/>
  <c r="A3" i="2"/>
  <c r="A277" i="2"/>
  <c r="A175" i="2"/>
  <c r="A104" i="2"/>
  <c r="A538" i="3"/>
  <c r="A328" i="3"/>
  <c r="A206" i="3"/>
  <c r="A289" i="2"/>
  <c r="A2" i="2"/>
  <c r="A157" i="2"/>
  <c r="A258" i="2"/>
  <c r="A120" i="2"/>
  <c r="A466" i="3"/>
  <c r="A74" i="3"/>
  <c r="A395" i="3"/>
  <c r="A21" i="3"/>
  <c r="A200" i="3"/>
  <c r="A317" i="3"/>
  <c r="A281" i="3"/>
  <c r="A272" i="3"/>
  <c r="A204" i="3"/>
  <c r="A256" i="3"/>
  <c r="A19" i="2"/>
  <c r="A117" i="2"/>
  <c r="A97" i="2"/>
  <c r="A298" i="2"/>
  <c r="A90" i="2"/>
  <c r="A35" i="2"/>
  <c r="A95" i="2"/>
  <c r="A156" i="2"/>
  <c r="A170" i="2"/>
  <c r="A270" i="2"/>
  <c r="A237" i="2"/>
  <c r="A179" i="2"/>
  <c r="A257" i="2"/>
  <c r="A209" i="2"/>
  <c r="A269" i="2"/>
  <c r="A193" i="2"/>
  <c r="A145" i="2"/>
  <c r="A44" i="2"/>
  <c r="A296" i="2"/>
  <c r="A436" i="3"/>
  <c r="A411" i="3"/>
  <c r="A409" i="3"/>
  <c r="A407" i="3"/>
  <c r="A456" i="3"/>
  <c r="A455" i="3"/>
  <c r="A238" i="3"/>
  <c r="A228" i="3"/>
  <c r="A339" i="3"/>
  <c r="A151" i="3"/>
  <c r="A222" i="3"/>
  <c r="A398" i="3"/>
  <c r="A292" i="3"/>
  <c r="A123" i="3"/>
  <c r="A174" i="3"/>
  <c r="A36" i="2"/>
  <c r="A50" i="2"/>
  <c r="A51" i="2"/>
  <c r="A34" i="2"/>
  <c r="A101" i="2"/>
  <c r="A69" i="2"/>
  <c r="A52" i="2"/>
  <c r="A109" i="2"/>
  <c r="A181" i="2"/>
  <c r="A190" i="2"/>
  <c r="A249" i="2"/>
  <c r="A219" i="2"/>
  <c r="A255" i="2"/>
  <c r="A166" i="2"/>
  <c r="A236" i="2"/>
  <c r="A134" i="2"/>
  <c r="A49" i="2"/>
  <c r="A12" i="2"/>
  <c r="A141" i="2"/>
  <c r="A495" i="3"/>
  <c r="A439" i="3"/>
  <c r="A452" i="3"/>
  <c r="A63" i="3"/>
  <c r="A207" i="3"/>
  <c r="A220" i="3"/>
  <c r="A282" i="3"/>
  <c r="A368" i="3"/>
  <c r="A254" i="3"/>
  <c r="A57" i="3"/>
  <c r="A31" i="3"/>
  <c r="A355" i="3"/>
  <c r="A300" i="2"/>
  <c r="A79" i="2"/>
  <c r="A149" i="2"/>
  <c r="A18" i="2"/>
  <c r="A100" i="2"/>
  <c r="A144" i="2"/>
  <c r="A146" i="2"/>
  <c r="A40" i="2"/>
  <c r="A182" i="2"/>
  <c r="A234" i="2"/>
  <c r="A217" i="2"/>
  <c r="A216" i="2"/>
  <c r="A205" i="2"/>
  <c r="A223" i="2"/>
  <c r="A232" i="2"/>
  <c r="A281" i="2"/>
  <c r="A285" i="2"/>
  <c r="A83" i="2"/>
  <c r="A129" i="2"/>
  <c r="A416" i="3"/>
  <c r="A501" i="3"/>
  <c r="A450" i="3"/>
  <c r="A498" i="3"/>
  <c r="A37" i="3"/>
  <c r="A20" i="3"/>
  <c r="A326" i="3"/>
  <c r="A324" i="3"/>
  <c r="A65" i="3"/>
  <c r="A557" i="3"/>
  <c r="A345" i="3"/>
  <c r="A237" i="3"/>
  <c r="A48" i="3"/>
  <c r="A22" i="2"/>
  <c r="A102" i="2"/>
  <c r="A299" i="2"/>
  <c r="A154" i="2"/>
  <c r="A99" i="2"/>
  <c r="A54" i="2"/>
  <c r="A283" i="2"/>
  <c r="A33" i="2"/>
  <c r="A271" i="2"/>
  <c r="A168" i="2"/>
  <c r="A233" i="2"/>
  <c r="A183" i="2"/>
  <c r="A185" i="2"/>
  <c r="A222" i="2"/>
  <c r="A206" i="2"/>
  <c r="A30" i="2"/>
  <c r="A68" i="2"/>
  <c r="A105" i="2"/>
  <c r="A286" i="2"/>
  <c r="A55" i="2"/>
  <c r="A512" i="3"/>
  <c r="A479" i="3"/>
  <c r="A421" i="3"/>
  <c r="A499" i="3"/>
  <c r="A451" i="3"/>
  <c r="A511" i="3"/>
  <c r="A435" i="3"/>
  <c r="A55" i="3"/>
  <c r="A58" i="3"/>
  <c r="A561" i="3"/>
  <c r="A223" i="3"/>
  <c r="A285" i="3"/>
  <c r="A267" i="3"/>
  <c r="A379" i="3"/>
  <c r="A216" i="3"/>
  <c r="A265" i="3"/>
  <c r="A39" i="2"/>
  <c r="A96" i="2"/>
  <c r="A85" i="2"/>
  <c r="A67" i="2"/>
  <c r="A152" i="2"/>
  <c r="A5" i="2"/>
  <c r="A143" i="2"/>
  <c r="A189" i="2"/>
  <c r="A199" i="2"/>
  <c r="A252" i="2"/>
  <c r="A239" i="2"/>
  <c r="A160" i="2"/>
  <c r="A260" i="2"/>
  <c r="A261" i="2"/>
  <c r="A246" i="2"/>
  <c r="A287" i="2"/>
  <c r="A153" i="2"/>
  <c r="A279" i="2"/>
  <c r="A301" i="2"/>
  <c r="A385" i="3"/>
  <c r="A128" i="3"/>
  <c r="A343" i="3"/>
  <c r="A347" i="3"/>
  <c r="A287" i="3"/>
  <c r="A241" i="3"/>
  <c r="A217" i="3"/>
  <c r="A303" i="3"/>
  <c r="A10" i="2"/>
  <c r="A75" i="2"/>
  <c r="A123" i="2"/>
  <c r="A107" i="2"/>
  <c r="A42" i="2"/>
  <c r="A119" i="2"/>
  <c r="A63" i="2"/>
  <c r="A263" i="2"/>
  <c r="A248" i="2"/>
  <c r="A231" i="2"/>
  <c r="A274" i="2"/>
  <c r="A230" i="2"/>
  <c r="A250" i="2"/>
  <c r="A243" i="2"/>
  <c r="A244" i="2"/>
  <c r="A17" i="2"/>
  <c r="A288" i="2"/>
  <c r="A26" i="2"/>
  <c r="A282" i="2"/>
  <c r="A142" i="3"/>
  <c r="A110" i="3"/>
  <c r="A545" i="3"/>
  <c r="A50" i="3"/>
  <c r="A558" i="3"/>
  <c r="A288" i="3"/>
  <c r="A323" i="3"/>
  <c r="A215" i="3"/>
  <c r="A189" i="3"/>
  <c r="A118" i="2"/>
  <c r="A76" i="2"/>
  <c r="A84" i="2"/>
  <c r="A47" i="2"/>
  <c r="A56" i="2"/>
  <c r="A124" i="2"/>
  <c r="A80" i="2"/>
  <c r="A266" i="2"/>
  <c r="A245" i="2"/>
  <c r="A275" i="2"/>
  <c r="A221" i="2"/>
  <c r="A177" i="2"/>
  <c r="A254" i="2"/>
  <c r="A212" i="2"/>
  <c r="A224" i="2"/>
  <c r="A16" i="2"/>
  <c r="A29" i="2"/>
  <c r="A142" i="2"/>
  <c r="A77" i="2"/>
  <c r="A211" i="2"/>
  <c r="A227" i="2"/>
  <c r="A186" i="2"/>
  <c r="A215" i="2"/>
  <c r="A37" i="2"/>
  <c r="A45" i="2"/>
  <c r="A25" i="2"/>
  <c r="A147" i="2"/>
  <c r="A305" i="3"/>
  <c r="A297" i="3"/>
  <c r="A424" i="3"/>
  <c r="A476" i="3"/>
  <c r="A459" i="3"/>
  <c r="A458" i="3"/>
  <c r="A447" i="3"/>
  <c r="A465" i="3"/>
  <c r="A474" i="3"/>
  <c r="A248" i="3"/>
  <c r="A112" i="3"/>
  <c r="A5" i="3"/>
  <c r="A136" i="3"/>
  <c r="A361" i="3"/>
  <c r="A81" i="3"/>
  <c r="A19" i="3"/>
  <c r="A181" i="3"/>
  <c r="A214" i="3"/>
  <c r="A273" i="3"/>
  <c r="A8" i="2"/>
  <c r="A72" i="2"/>
  <c r="A135" i="2"/>
  <c r="A92" i="2"/>
  <c r="A126" i="2"/>
  <c r="A151" i="2"/>
  <c r="A88" i="2"/>
  <c r="A262" i="2"/>
  <c r="A171" i="2"/>
  <c r="A172" i="2"/>
  <c r="A180" i="2"/>
  <c r="A164" i="2"/>
  <c r="A176" i="2"/>
  <c r="A264" i="2"/>
  <c r="A162" i="2"/>
  <c r="A291" i="2"/>
  <c r="A138" i="2"/>
  <c r="A108" i="2"/>
  <c r="B29" i="1"/>
  <c r="A427" i="3"/>
  <c r="A464" i="3"/>
  <c r="A448" i="3"/>
  <c r="A289" i="3"/>
  <c r="A93" i="3"/>
  <c r="A70" i="3"/>
  <c r="A135" i="3"/>
  <c r="A294" i="3"/>
  <c r="A53" i="3"/>
  <c r="A187" i="3"/>
  <c r="A314" i="3"/>
  <c r="A25" i="3"/>
  <c r="A340" i="3"/>
  <c r="A136" i="2"/>
  <c r="A73" i="2"/>
  <c r="A61" i="2"/>
  <c r="A9" i="2"/>
  <c r="A133" i="2"/>
  <c r="A71" i="2"/>
  <c r="A65" i="2"/>
  <c r="A265" i="2"/>
  <c r="A225" i="2"/>
  <c r="A194" i="2"/>
  <c r="A169" i="2"/>
  <c r="A167" i="2"/>
  <c r="A165" i="2"/>
  <c r="A214" i="2"/>
  <c r="A213" i="2"/>
  <c r="A15" i="2"/>
  <c r="A137" i="2"/>
  <c r="A21" i="2"/>
  <c r="A400" i="3"/>
  <c r="A420" i="3"/>
  <c r="A417" i="3"/>
  <c r="A477" i="3"/>
  <c r="A489" i="3"/>
  <c r="A401" i="3"/>
  <c r="A131" i="3"/>
  <c r="A9" i="3"/>
  <c r="A167" i="3"/>
  <c r="A387" i="3"/>
  <c r="A149" i="3"/>
  <c r="A260" i="3"/>
  <c r="A526" i="3"/>
  <c r="A394" i="3"/>
  <c r="A140" i="3"/>
  <c r="A370" i="3"/>
  <c r="A58" i="2"/>
  <c r="A94" i="2"/>
  <c r="A111" i="2"/>
  <c r="A66" i="2"/>
  <c r="A62" i="2"/>
  <c r="A87" i="2"/>
  <c r="A60" i="2"/>
  <c r="A200" i="2"/>
  <c r="A278" i="2"/>
  <c r="A240" i="2"/>
  <c r="A218" i="2"/>
  <c r="A187" i="2"/>
  <c r="A253" i="2"/>
  <c r="A197" i="2"/>
  <c r="A210" i="2"/>
  <c r="A59" i="2"/>
  <c r="A23" i="2"/>
  <c r="A290" i="2"/>
  <c r="A539" i="3"/>
  <c r="A431" i="3"/>
  <c r="A441" i="3"/>
  <c r="A494" i="3"/>
  <c r="A481" i="3"/>
  <c r="A402" i="3"/>
  <c r="A502" i="3"/>
  <c r="A503" i="3"/>
  <c r="A488" i="3"/>
  <c r="A555" i="3"/>
  <c r="A257" i="3"/>
  <c r="A147" i="3"/>
  <c r="A336" i="3"/>
  <c r="A146" i="3"/>
  <c r="A164" i="3"/>
  <c r="A253" i="3"/>
  <c r="A384" i="3"/>
  <c r="A170" i="3"/>
  <c r="A76" i="3"/>
  <c r="A41" i="2"/>
  <c r="A139" i="2"/>
  <c r="A46" i="2"/>
  <c r="A32" i="2"/>
  <c r="A64" i="2"/>
  <c r="A91" i="2"/>
  <c r="A112" i="2"/>
  <c r="A198" i="2"/>
  <c r="A184" i="2"/>
  <c r="A220" i="2"/>
  <c r="A204" i="2"/>
  <c r="A174" i="2"/>
  <c r="A259" i="2"/>
  <c r="A208" i="2"/>
  <c r="A256" i="2"/>
  <c r="A13" i="2"/>
  <c r="A293" i="2"/>
</calcChain>
</file>

<file path=xl/sharedStrings.xml><?xml version="1.0" encoding="utf-8"?>
<sst xmlns="http://schemas.openxmlformats.org/spreadsheetml/2006/main" count="13083" uniqueCount="2642">
  <si>
    <t>A8353376</t>
  </si>
  <si>
    <t>AGUSTIN</t>
  </si>
  <si>
    <t>ESCOBAR</t>
  </si>
  <si>
    <t>SERRANO</t>
  </si>
  <si>
    <t>PRODUCCIÓN (00045)</t>
  </si>
  <si>
    <t>M3569866</t>
  </si>
  <si>
    <t>MIRIAM</t>
  </si>
  <si>
    <t>SIERRA</t>
  </si>
  <si>
    <t>RODRIGUEZ</t>
  </si>
  <si>
    <t>R5077557</t>
  </si>
  <si>
    <t>RICARDO</t>
  </si>
  <si>
    <t>GONZALEZ</t>
  </si>
  <si>
    <t>PEREZ</t>
  </si>
  <si>
    <t>JEFE VENTAS - OPERACIÓN DISTR (00066)</t>
  </si>
  <si>
    <t>A6556153</t>
  </si>
  <si>
    <t>ANTONIO MOISES</t>
  </si>
  <si>
    <t>SANTOS</t>
  </si>
  <si>
    <t>AVELLANO</t>
  </si>
  <si>
    <t>M7668816</t>
  </si>
  <si>
    <t>MIGUEL ANGEL</t>
  </si>
  <si>
    <t>GOMEZ</t>
  </si>
  <si>
    <t>RUIZ</t>
  </si>
  <si>
    <t>PRODUCCIÓN (00074)</t>
  </si>
  <si>
    <t>J5391663</t>
  </si>
  <si>
    <t>JESUS</t>
  </si>
  <si>
    <t>ORTEGO</t>
  </si>
  <si>
    <t>MATE</t>
  </si>
  <si>
    <t>L4314652</t>
  </si>
  <si>
    <t>LUIS ALBERTO</t>
  </si>
  <si>
    <t>GARCIA</t>
  </si>
  <si>
    <t>ESCUDERO</t>
  </si>
  <si>
    <t>DIRECTOR DE VENTAS (00077)</t>
  </si>
  <si>
    <t>J6139155</t>
  </si>
  <si>
    <t>JONATAN</t>
  </si>
  <si>
    <t>GERVASO</t>
  </si>
  <si>
    <t>GARVIN</t>
  </si>
  <si>
    <t>PRODUCCIÓN (00088)</t>
  </si>
  <si>
    <t>F8146290</t>
  </si>
  <si>
    <t>FRANCISCO JAVIER</t>
  </si>
  <si>
    <t>HERNANDEZ</t>
  </si>
  <si>
    <t>OLIVER</t>
  </si>
  <si>
    <t>LOGÍSTICA (00106)</t>
  </si>
  <si>
    <t>F9009293</t>
  </si>
  <si>
    <t>FERNANDO</t>
  </si>
  <si>
    <t>MARTINEZ</t>
  </si>
  <si>
    <t>BENITO</t>
  </si>
  <si>
    <t>PRODUCCIÓN (00145)</t>
  </si>
  <si>
    <t>2G</t>
  </si>
  <si>
    <t>C9612177</t>
  </si>
  <si>
    <t>CARLOS</t>
  </si>
  <si>
    <t>BRIS</t>
  </si>
  <si>
    <t>CABRERIZO</t>
  </si>
  <si>
    <t>RESPONSABLE MANTENIMIENTO (00159)</t>
  </si>
  <si>
    <t>T3229795</t>
  </si>
  <si>
    <t>TOMAS</t>
  </si>
  <si>
    <t>VALERO</t>
  </si>
  <si>
    <t>PRODUCCIÓN (00174)</t>
  </si>
  <si>
    <t>P7416302</t>
  </si>
  <si>
    <t>PEDRO</t>
  </si>
  <si>
    <t>CONDE</t>
  </si>
  <si>
    <t>VICENTE</t>
  </si>
  <si>
    <t>PRODUCCIÓN (00180)</t>
  </si>
  <si>
    <t>G1309777</t>
  </si>
  <si>
    <t>GUSTAVO</t>
  </si>
  <si>
    <t>HERRANZ</t>
  </si>
  <si>
    <t>BARAHONA</t>
  </si>
  <si>
    <t>PRODUCCIÓN (00236)</t>
  </si>
  <si>
    <t>A5336853</t>
  </si>
  <si>
    <t>ANTONIO</t>
  </si>
  <si>
    <t>PONSODA</t>
  </si>
  <si>
    <t>REINA</t>
  </si>
  <si>
    <t>PRODUCCIÓN (00242)</t>
  </si>
  <si>
    <t>I8301604</t>
  </si>
  <si>
    <t>IVAN</t>
  </si>
  <si>
    <t>FERNANDEZ</t>
  </si>
  <si>
    <t>VENTAS (02022)</t>
  </si>
  <si>
    <t>Sergio</t>
  </si>
  <si>
    <t>Prueba</t>
  </si>
  <si>
    <t>Configuración</t>
  </si>
  <si>
    <t>PLACO PRESCRIPTION RESP.</t>
  </si>
  <si>
    <t>N3723463</t>
  </si>
  <si>
    <t>NICOLAS</t>
  </si>
  <si>
    <t>BERMEJO</t>
  </si>
  <si>
    <t>PRESA</t>
  </si>
  <si>
    <t>L3456848</t>
  </si>
  <si>
    <t>LUIS NIXON</t>
  </si>
  <si>
    <t>CARVAJAL</t>
  </si>
  <si>
    <t>QUINTERO</t>
  </si>
  <si>
    <t>PRODUCCIÓN (00353)</t>
  </si>
  <si>
    <t>D0530111</t>
  </si>
  <si>
    <t>DAVID</t>
  </si>
  <si>
    <t>DE BENITO</t>
  </si>
  <si>
    <t>MIGUEL</t>
  </si>
  <si>
    <t>LOGÍSTICA (00362)</t>
  </si>
  <si>
    <t>R8352994</t>
  </si>
  <si>
    <t>RAFAEL</t>
  </si>
  <si>
    <t>CALDERON</t>
  </si>
  <si>
    <t>PATON</t>
  </si>
  <si>
    <t>PRODUCCIÓN (00391)</t>
  </si>
  <si>
    <t>V5668792</t>
  </si>
  <si>
    <t>VICTOR</t>
  </si>
  <si>
    <t>ROMERO</t>
  </si>
  <si>
    <t>AGÜERO</t>
  </si>
  <si>
    <t>PRUEBA VICTOR RESPONSABLE</t>
  </si>
  <si>
    <t>P9875672</t>
  </si>
  <si>
    <t>JIMENEZ</t>
  </si>
  <si>
    <t>GAMEZ</t>
  </si>
  <si>
    <t>1J</t>
  </si>
  <si>
    <t>R4251279</t>
  </si>
  <si>
    <t>ROSA MARIA</t>
  </si>
  <si>
    <t>MELERO</t>
  </si>
  <si>
    <t>MOYA</t>
  </si>
  <si>
    <t>JEFE VENTAS - OPERACIÓN DISTR (00509)</t>
  </si>
  <si>
    <t>P8248920</t>
  </si>
  <si>
    <t>PAULO JORGE</t>
  </si>
  <si>
    <t>H2693153</t>
  </si>
  <si>
    <t>HELDER</t>
  </si>
  <si>
    <t>GONCALVES</t>
  </si>
  <si>
    <t>S1860198</t>
  </si>
  <si>
    <t>SANDRA</t>
  </si>
  <si>
    <t>Rosário de Sá</t>
  </si>
  <si>
    <t>P3941386</t>
  </si>
  <si>
    <t>DUARTE DA SILVA</t>
  </si>
  <si>
    <t>J5018536</t>
  </si>
  <si>
    <t>JOSÉ ANTÓNIO</t>
  </si>
  <si>
    <t>COSTA</t>
  </si>
  <si>
    <t>J9085499</t>
  </si>
  <si>
    <t>JORGE</t>
  </si>
  <si>
    <t>SILVA</t>
  </si>
  <si>
    <t>A5417301</t>
  </si>
  <si>
    <t>ANA</t>
  </si>
  <si>
    <t>GRAVATO</t>
  </si>
  <si>
    <t>J9539848</t>
  </si>
  <si>
    <t>RIBEIRO</t>
  </si>
  <si>
    <t>L3774192</t>
  </si>
  <si>
    <t>LUIS MANUEL</t>
  </si>
  <si>
    <t>TELES</t>
  </si>
  <si>
    <t>M8014566</t>
  </si>
  <si>
    <t>MÁRIO ANTÓNIO</t>
  </si>
  <si>
    <t>BORGES</t>
  </si>
  <si>
    <t>M8491500</t>
  </si>
  <si>
    <t>MIGUEL FERNANDO</t>
  </si>
  <si>
    <t>SOUSA</t>
  </si>
  <si>
    <t>A4180653</t>
  </si>
  <si>
    <t>Aantónio Carlos</t>
  </si>
  <si>
    <t>Salgado</t>
  </si>
  <si>
    <t>J0804400</t>
  </si>
  <si>
    <t>JOSE MANUEL</t>
  </si>
  <si>
    <t>FERREIRA</t>
  </si>
  <si>
    <t>M2478472</t>
  </si>
  <si>
    <t>MADALENA</t>
  </si>
  <si>
    <t>MARREIROS</t>
  </si>
  <si>
    <t>M5348426</t>
  </si>
  <si>
    <t>MARIA JOSE</t>
  </si>
  <si>
    <t>MARQUES</t>
  </si>
  <si>
    <t>A5945951</t>
  </si>
  <si>
    <t>ARTUR</t>
  </si>
  <si>
    <t>BRANDAO</t>
  </si>
  <si>
    <t>A4847593</t>
  </si>
  <si>
    <t>ANABELA</t>
  </si>
  <si>
    <t>CUNHA LOPES</t>
  </si>
  <si>
    <t>R9253941</t>
  </si>
  <si>
    <t>Rui</t>
  </si>
  <si>
    <t>Teixeira</t>
  </si>
  <si>
    <t>R6932822</t>
  </si>
  <si>
    <t>RUI MANUEL</t>
  </si>
  <si>
    <t>GERALDES</t>
  </si>
  <si>
    <t>J1573527</t>
  </si>
  <si>
    <t>JOSÉ</t>
  </si>
  <si>
    <t>SIMOES</t>
  </si>
  <si>
    <t>H6445236</t>
  </si>
  <si>
    <t>HENRIQUE NUNO</t>
  </si>
  <si>
    <t>J9108150</t>
  </si>
  <si>
    <t>JOSE</t>
  </si>
  <si>
    <t>MAIA MARQUES</t>
  </si>
  <si>
    <t>R5557357</t>
  </si>
  <si>
    <t>RUI</t>
  </si>
  <si>
    <t>OLIVEIRA</t>
  </si>
  <si>
    <t>F6099543</t>
  </si>
  <si>
    <t>FILIPE</t>
  </si>
  <si>
    <t>SAMBENTO</t>
  </si>
  <si>
    <t>J5822076</t>
  </si>
  <si>
    <t>João</t>
  </si>
  <si>
    <t>Costa Patrício</t>
  </si>
  <si>
    <t>M6894777</t>
  </si>
  <si>
    <t>Maria Manuela</t>
  </si>
  <si>
    <t>Morais</t>
  </si>
  <si>
    <t>R0357636</t>
  </si>
  <si>
    <t>RUI ALEXANDRE</t>
  </si>
  <si>
    <t>OLIVEIRA E SILVA</t>
  </si>
  <si>
    <t>M9205867</t>
  </si>
  <si>
    <t>MANUEL</t>
  </si>
  <si>
    <t>MACHADO</t>
  </si>
  <si>
    <t>L1379177</t>
  </si>
  <si>
    <t>LUÍS MIGUEL</t>
  </si>
  <si>
    <t>ANGEJA</t>
  </si>
  <si>
    <t>L1916684</t>
  </si>
  <si>
    <t>LUIS</t>
  </si>
  <si>
    <t>A6992198</t>
  </si>
  <si>
    <t>ADELAIDE</t>
  </si>
  <si>
    <t>ALVES BESSA E SILVA</t>
  </si>
  <si>
    <t>J1131990</t>
  </si>
  <si>
    <t>JOSÉ ALBERTO</t>
  </si>
  <si>
    <t>SALDANHA</t>
  </si>
  <si>
    <t>C3174786</t>
  </si>
  <si>
    <t>CESAR MANUEL</t>
  </si>
  <si>
    <t>CORREIA</t>
  </si>
  <si>
    <t>J1640357</t>
  </si>
  <si>
    <t>José</t>
  </si>
  <si>
    <t>M0201041</t>
  </si>
  <si>
    <t>Manuel José</t>
  </si>
  <si>
    <t>Castro</t>
  </si>
  <si>
    <t>P8672352</t>
  </si>
  <si>
    <t>DINIZ</t>
  </si>
  <si>
    <t>P1896415</t>
  </si>
  <si>
    <t>PAULO</t>
  </si>
  <si>
    <t>A6925972</t>
  </si>
  <si>
    <t>ANTONIO TAVARES</t>
  </si>
  <si>
    <t>D5733655</t>
  </si>
  <si>
    <t>DIAS</t>
  </si>
  <si>
    <t>L7446926</t>
  </si>
  <si>
    <t>P3519097</t>
  </si>
  <si>
    <t>SOUSA FERREIRA</t>
  </si>
  <si>
    <t>N4158968</t>
  </si>
  <si>
    <t>NUNO</t>
  </si>
  <si>
    <t>R0094445</t>
  </si>
  <si>
    <t>RENATO</t>
  </si>
  <si>
    <t>BARBOSA</t>
  </si>
  <si>
    <t>M4832835</t>
  </si>
  <si>
    <t>MAGDA DOMINGUES</t>
  </si>
  <si>
    <t>F4526977</t>
  </si>
  <si>
    <t>Fernando</t>
  </si>
  <si>
    <t>Oliveira</t>
  </si>
  <si>
    <t>J0489795</t>
  </si>
  <si>
    <t>JOÃO</t>
  </si>
  <si>
    <t>CAMARINHA</t>
  </si>
  <si>
    <t>P3557786</t>
  </si>
  <si>
    <t>SEQUEIRA</t>
  </si>
  <si>
    <t>R8094337</t>
  </si>
  <si>
    <t>Ricardo</t>
  </si>
  <si>
    <t>Marques Filipe</t>
  </si>
  <si>
    <t>G0406494</t>
  </si>
  <si>
    <t>GONÇALO</t>
  </si>
  <si>
    <t>PEREIRA</t>
  </si>
  <si>
    <t>P4005378</t>
  </si>
  <si>
    <t>P6305250</t>
  </si>
  <si>
    <t>FERREIRA DA COSTA</t>
  </si>
  <si>
    <t>C6067195</t>
  </si>
  <si>
    <t>BOIX</t>
  </si>
  <si>
    <t>F6737856</t>
  </si>
  <si>
    <t>Ramirez Arevalo</t>
  </si>
  <si>
    <t>A7580255</t>
  </si>
  <si>
    <t>AMINA</t>
  </si>
  <si>
    <t>RAFYQ</t>
  </si>
  <si>
    <t>A6181784</t>
  </si>
  <si>
    <t>AMINE</t>
  </si>
  <si>
    <t>METNI</t>
  </si>
  <si>
    <t>J5430379</t>
  </si>
  <si>
    <t>JOSE GARCIA</t>
  </si>
  <si>
    <t>SOTO</t>
  </si>
  <si>
    <t>D8325341</t>
  </si>
  <si>
    <t>DAOUD</t>
  </si>
  <si>
    <t>CHETOUANI</t>
  </si>
  <si>
    <t>M1274603</t>
  </si>
  <si>
    <t>RACHID</t>
  </si>
  <si>
    <t>CHADLI</t>
  </si>
  <si>
    <t>A4469373</t>
  </si>
  <si>
    <t>KHATTABI</t>
  </si>
  <si>
    <t>C7113631</t>
  </si>
  <si>
    <t>CHARAF</t>
  </si>
  <si>
    <t>MOURY</t>
  </si>
  <si>
    <t>F2008630</t>
  </si>
  <si>
    <t>FAYCAL</t>
  </si>
  <si>
    <t>BOUZRIBA</t>
  </si>
  <si>
    <t>K0341276</t>
  </si>
  <si>
    <t>KAMAL</t>
  </si>
  <si>
    <t>MDIDECH</t>
  </si>
  <si>
    <t>K6829701</t>
  </si>
  <si>
    <t>RADSY</t>
  </si>
  <si>
    <t>M6004094</t>
  </si>
  <si>
    <t>MERIEM</t>
  </si>
  <si>
    <t>FETTACH</t>
  </si>
  <si>
    <t>M6644909</t>
  </si>
  <si>
    <t>MOUNA</t>
  </si>
  <si>
    <t>EL FRAKCHA</t>
  </si>
  <si>
    <t>E3048904</t>
  </si>
  <si>
    <t>EL MOSTAFA</t>
  </si>
  <si>
    <t>BELBACHA</t>
  </si>
  <si>
    <t>M0987407</t>
  </si>
  <si>
    <t>MUSTAPHA</t>
  </si>
  <si>
    <t>EL HAMDI</t>
  </si>
  <si>
    <t>I8657204</t>
  </si>
  <si>
    <t>IMAD ADDINE</t>
  </si>
  <si>
    <t>MASSOUR</t>
  </si>
  <si>
    <t>K5092393</t>
  </si>
  <si>
    <t>KHALID</t>
  </si>
  <si>
    <t>KHAMMALI</t>
  </si>
  <si>
    <t>A8780908</t>
  </si>
  <si>
    <t>ABDELAZYZ</t>
  </si>
  <si>
    <t>RADOUANI</t>
  </si>
  <si>
    <t>E7408625</t>
  </si>
  <si>
    <t>EL KOUCHI</t>
  </si>
  <si>
    <t>EL HARDI</t>
  </si>
  <si>
    <t>H2634732</t>
  </si>
  <si>
    <t>HASSAN</t>
  </si>
  <si>
    <t>DEBBAJ</t>
  </si>
  <si>
    <t>K9428348</t>
  </si>
  <si>
    <t>KARIM</t>
  </si>
  <si>
    <t>EL ATRI</t>
  </si>
  <si>
    <t>S9863090</t>
  </si>
  <si>
    <t>WAFAA</t>
  </si>
  <si>
    <t>SAHMOUDI</t>
  </si>
  <si>
    <t>M6288357</t>
  </si>
  <si>
    <t>MOHAMMED</t>
  </si>
  <si>
    <t>AYACH</t>
  </si>
  <si>
    <t>E2201246</t>
  </si>
  <si>
    <t>LAHROURE</t>
  </si>
  <si>
    <t>M3004909</t>
  </si>
  <si>
    <t>MOHAMED</t>
  </si>
  <si>
    <t>EL YAGOUBI</t>
  </si>
  <si>
    <t>K4248020</t>
  </si>
  <si>
    <t>OUADIE</t>
  </si>
  <si>
    <t>KALLOUBI</t>
  </si>
  <si>
    <t>M9949088</t>
  </si>
  <si>
    <t>MOUNIA</t>
  </si>
  <si>
    <t>RAHALI</t>
  </si>
  <si>
    <t>I2505212</t>
  </si>
  <si>
    <t>ISMAIL</t>
  </si>
  <si>
    <t>BOUBEKRI</t>
  </si>
  <si>
    <t>L6208379</t>
  </si>
  <si>
    <t>LAMYA</t>
  </si>
  <si>
    <t>EL MIR</t>
  </si>
  <si>
    <t>M5626688</t>
  </si>
  <si>
    <t>MAJIDA</t>
  </si>
  <si>
    <t>OUMESRI</t>
  </si>
  <si>
    <t>M6344770</t>
  </si>
  <si>
    <t>MOHAMED AMINE</t>
  </si>
  <si>
    <t>ATABA</t>
  </si>
  <si>
    <t>K9328312</t>
  </si>
  <si>
    <t>DALAL</t>
  </si>
  <si>
    <t>M6316752</t>
  </si>
  <si>
    <t>LJAZOULI</t>
  </si>
  <si>
    <t>H3027808</t>
  </si>
  <si>
    <t>HAKIM</t>
  </si>
  <si>
    <t>BOUTAYEB</t>
  </si>
  <si>
    <t>B3146354</t>
  </si>
  <si>
    <t>BRAHIM</t>
  </si>
  <si>
    <t>EL OUAREK</t>
  </si>
  <si>
    <t>S1731588</t>
  </si>
  <si>
    <t>SAFAA</t>
  </si>
  <si>
    <t>ADNANE</t>
  </si>
  <si>
    <t>W2695769</t>
  </si>
  <si>
    <t>DIAB</t>
  </si>
  <si>
    <t>M1504047</t>
  </si>
  <si>
    <t>MOUNAIM</t>
  </si>
  <si>
    <t>FAKKOUS</t>
  </si>
  <si>
    <t>O2855831</t>
  </si>
  <si>
    <t>OMAR</t>
  </si>
  <si>
    <t>EL ALAMI</t>
  </si>
  <si>
    <t>A3574111</t>
  </si>
  <si>
    <t>AHMED</t>
  </si>
  <si>
    <t>KAYMI</t>
  </si>
  <si>
    <t>A8779087</t>
  </si>
  <si>
    <t>AZIZ</t>
  </si>
  <si>
    <t>CHOUKRI</t>
  </si>
  <si>
    <t>M4552646</t>
  </si>
  <si>
    <t>MOUNIR</t>
  </si>
  <si>
    <t>EL KHAYARI</t>
  </si>
  <si>
    <t>G0352941</t>
  </si>
  <si>
    <t>GILLES JOSEPH</t>
  </si>
  <si>
    <t>ABENSOUR</t>
  </si>
  <si>
    <t>H5300207</t>
  </si>
  <si>
    <t>EL YACHOUTI</t>
  </si>
  <si>
    <t>O0670575</t>
  </si>
  <si>
    <t>OUMAIMA</t>
  </si>
  <si>
    <t>FIDI</t>
  </si>
  <si>
    <t>S0210935</t>
  </si>
  <si>
    <t>SALAH EDDINE</t>
  </si>
  <si>
    <t>BELAOUS</t>
  </si>
  <si>
    <t>Y0253734</t>
  </si>
  <si>
    <t>YOUSSEF</t>
  </si>
  <si>
    <t>EL KERCHAOUI</t>
  </si>
  <si>
    <t>F2038142</t>
  </si>
  <si>
    <t>FREDERIC</t>
  </si>
  <si>
    <t>OBAJTEK</t>
  </si>
  <si>
    <t>Y2715658</t>
  </si>
  <si>
    <t>YASSINE</t>
  </si>
  <si>
    <t>MARAH</t>
  </si>
  <si>
    <t>L5865003</t>
  </si>
  <si>
    <t>LAMYAE</t>
  </si>
  <si>
    <t>BELACHOUR</t>
  </si>
  <si>
    <t>A9302822</t>
  </si>
  <si>
    <t>QACHAOU</t>
  </si>
  <si>
    <t>I0216489</t>
  </si>
  <si>
    <t>ISSAM</t>
  </si>
  <si>
    <t>MOUJOUD</t>
  </si>
  <si>
    <t>M8170346</t>
  </si>
  <si>
    <t>MOSTAFA</t>
  </si>
  <si>
    <t>OBAISS</t>
  </si>
  <si>
    <t>M9411528</t>
  </si>
  <si>
    <t>GHAILANE</t>
  </si>
  <si>
    <t>H8317012</t>
  </si>
  <si>
    <t>HAMID</t>
  </si>
  <si>
    <t>AIT BIHI</t>
  </si>
  <si>
    <t>A0967417</t>
  </si>
  <si>
    <t>ET TARIQI</t>
  </si>
  <si>
    <t>S1699066</t>
  </si>
  <si>
    <t>ZAHIRA</t>
  </si>
  <si>
    <t>SAKHAOUI</t>
  </si>
  <si>
    <t>F0780257</t>
  </si>
  <si>
    <t>FOUAD</t>
  </si>
  <si>
    <t>FAHL</t>
  </si>
  <si>
    <t>F0057503</t>
  </si>
  <si>
    <t>EL MAIZI</t>
  </si>
  <si>
    <t>Y0565913</t>
  </si>
  <si>
    <t>IGLI</t>
  </si>
  <si>
    <t>H5511105</t>
  </si>
  <si>
    <t>HICHAM</t>
  </si>
  <si>
    <t>HAMI</t>
  </si>
  <si>
    <t>A9125195</t>
  </si>
  <si>
    <t>AZIZI</t>
  </si>
  <si>
    <t>I4793714</t>
  </si>
  <si>
    <t>BAABOUA NEJJAR</t>
  </si>
  <si>
    <t>H7201344</t>
  </si>
  <si>
    <t>EL ACHBOUR</t>
  </si>
  <si>
    <t>HHHH</t>
  </si>
  <si>
    <t>FORMADOR</t>
  </si>
  <si>
    <t>FORMADOR2</t>
  </si>
  <si>
    <t>R6016876</t>
  </si>
  <si>
    <t>ROGÉRIO MANUEL</t>
  </si>
  <si>
    <t>NUNES</t>
  </si>
  <si>
    <t>R2670272</t>
  </si>
  <si>
    <t>Rute</t>
  </si>
  <si>
    <t>Costa Faria e Lopes</t>
  </si>
  <si>
    <t>F8428756</t>
  </si>
  <si>
    <t>Florian</t>
  </si>
  <si>
    <t>Rene Brocheton</t>
  </si>
  <si>
    <t>J4045964</t>
  </si>
  <si>
    <t>JAVIER</t>
  </si>
  <si>
    <t>ASENSIO</t>
  </si>
  <si>
    <t>DE VEGA</t>
  </si>
  <si>
    <t>DIRECTOR LOGÍSTICA (00547)</t>
  </si>
  <si>
    <t>D6725163</t>
  </si>
  <si>
    <t>OLIVAR</t>
  </si>
  <si>
    <t>DOMINGUEZ</t>
  </si>
  <si>
    <t>00935 (JEFE VENTAS - OPERACIÓN DISTR)</t>
  </si>
  <si>
    <t>J5549918</t>
  </si>
  <si>
    <t>MUÑIZ</t>
  </si>
  <si>
    <t>MIGUELEZ</t>
  </si>
  <si>
    <t>F5049139</t>
  </si>
  <si>
    <t>DEL RIO</t>
  </si>
  <si>
    <t>ZAMANILLO</t>
  </si>
  <si>
    <t>RESPONSABLE SERV FABRICACIÓN (00580)</t>
  </si>
  <si>
    <t>L7371274</t>
  </si>
  <si>
    <t>LOURDES</t>
  </si>
  <si>
    <t>VIDAL</t>
  </si>
  <si>
    <t>SIN DEFINIR (00596)</t>
  </si>
  <si>
    <t>J1842217</t>
  </si>
  <si>
    <t>JUAN CARLOS</t>
  </si>
  <si>
    <t>ARRIBAS</t>
  </si>
  <si>
    <t>RIAGUAS</t>
  </si>
  <si>
    <t>C0100439</t>
  </si>
  <si>
    <t>CESAR</t>
  </si>
  <si>
    <t>RAMOS</t>
  </si>
  <si>
    <t>MORAN</t>
  </si>
  <si>
    <t>PRODUCCIÓN (00599)</t>
  </si>
  <si>
    <t>A1975872</t>
  </si>
  <si>
    <t>ANGEL</t>
  </si>
  <si>
    <t>DIAZ</t>
  </si>
  <si>
    <t>00868 (COMPRADOR LOCAL)</t>
  </si>
  <si>
    <t>J2161690</t>
  </si>
  <si>
    <t>ARMESTO</t>
  </si>
  <si>
    <t>R1778570</t>
  </si>
  <si>
    <t>AYUSO</t>
  </si>
  <si>
    <t>J8092275</t>
  </si>
  <si>
    <t>JUAN</t>
  </si>
  <si>
    <t>MURCIANO</t>
  </si>
  <si>
    <t>DEL BUSTO</t>
  </si>
  <si>
    <t>PRODUCCIÓN (00773)</t>
  </si>
  <si>
    <t>L7848373</t>
  </si>
  <si>
    <t>DACAL</t>
  </si>
  <si>
    <t>INGENIERO DE FABRICACIÓN (00815)</t>
  </si>
  <si>
    <t>I9027151</t>
  </si>
  <si>
    <t>LUCIO</t>
  </si>
  <si>
    <t>VENTAS (00856)</t>
  </si>
  <si>
    <t>OPERACIONES DISTRIBUCIÓN (04403)</t>
  </si>
  <si>
    <t>J7436091</t>
  </si>
  <si>
    <t>CASTAÑO</t>
  </si>
  <si>
    <t>LOGÍSTICA (00920)</t>
  </si>
  <si>
    <t>J5406220</t>
  </si>
  <si>
    <t>JUAN ANTONIO</t>
  </si>
  <si>
    <t>I6825354</t>
  </si>
  <si>
    <t>IÑIGO</t>
  </si>
  <si>
    <t>SANCHEZ</t>
  </si>
  <si>
    <t>JEFE VENTAS - OPERACIÓN DISTR (00931)</t>
  </si>
  <si>
    <t>J1002613</t>
  </si>
  <si>
    <t>NAVARRO</t>
  </si>
  <si>
    <t>PRODUCCIÓN (00932)</t>
  </si>
  <si>
    <t>F6254996</t>
  </si>
  <si>
    <t>FRANCISCO-JAVIER</t>
  </si>
  <si>
    <t>CAMPAL</t>
  </si>
  <si>
    <t>JEFE VENTAS - OPERACIÓN DISTR (00935)</t>
  </si>
  <si>
    <t>J1776207</t>
  </si>
  <si>
    <t>SARABIA</t>
  </si>
  <si>
    <t>MONTES</t>
  </si>
  <si>
    <t>VENTAS (01466)</t>
  </si>
  <si>
    <t>O7468594</t>
  </si>
  <si>
    <t>OSCAR JAVIER</t>
  </si>
  <si>
    <t>TEJEDOR</t>
  </si>
  <si>
    <t>M2662009</t>
  </si>
  <si>
    <t>PEREZ DEL PALOMAR</t>
  </si>
  <si>
    <t>RUIZ DE LOIZAGA</t>
  </si>
  <si>
    <t>SIN DEFINIR (00981)</t>
  </si>
  <si>
    <t>R8849211</t>
  </si>
  <si>
    <t>ROBERTO</t>
  </si>
  <si>
    <t>SANTAMARIA</t>
  </si>
  <si>
    <t>EZQUERRO</t>
  </si>
  <si>
    <t>VENTAS (00986)</t>
  </si>
  <si>
    <t>P4089833</t>
  </si>
  <si>
    <t>PABLO</t>
  </si>
  <si>
    <t>SILIO</t>
  </si>
  <si>
    <t>NIETO</t>
  </si>
  <si>
    <t>PRODUCCIÓN (01033)</t>
  </si>
  <si>
    <t>G9554789</t>
  </si>
  <si>
    <t>GREGORIO</t>
  </si>
  <si>
    <t>PLAZA</t>
  </si>
  <si>
    <t>PRODUCCIÓN (01039)</t>
  </si>
  <si>
    <t>F7796330</t>
  </si>
  <si>
    <t>BRAVO</t>
  </si>
  <si>
    <t>SARO</t>
  </si>
  <si>
    <t>PRODUCCIÓN (01040)</t>
  </si>
  <si>
    <t>B2149319</t>
  </si>
  <si>
    <t>BEGOÑA</t>
  </si>
  <si>
    <t>LABRADOR</t>
  </si>
  <si>
    <t>J6007668</t>
  </si>
  <si>
    <t>BEDIA</t>
  </si>
  <si>
    <t>DE LA MAZA</t>
  </si>
  <si>
    <t>PRODUCCIÓN (01055)</t>
  </si>
  <si>
    <t>M4581480</t>
  </si>
  <si>
    <t>CAGIGAS</t>
  </si>
  <si>
    <t>J9366757</t>
  </si>
  <si>
    <t>CUESTA</t>
  </si>
  <si>
    <t>SAÑUDO</t>
  </si>
  <si>
    <t>LOGÍSTICA (01060)</t>
  </si>
  <si>
    <t>M0656003</t>
  </si>
  <si>
    <t>SOLANA</t>
  </si>
  <si>
    <t>VALLE</t>
  </si>
  <si>
    <t>PRODUCCIÓN (01068)</t>
  </si>
  <si>
    <t>J8542026</t>
  </si>
  <si>
    <t>MORAL</t>
  </si>
  <si>
    <t>PRODUCCIÓN (01081)</t>
  </si>
  <si>
    <t>J7053949</t>
  </si>
  <si>
    <t>JUAN MANUEL</t>
  </si>
  <si>
    <t>FLORANES</t>
  </si>
  <si>
    <t>PRODUCCIÓN (01084)</t>
  </si>
  <si>
    <t>J4236790</t>
  </si>
  <si>
    <t>JUAN AGUSTIN</t>
  </si>
  <si>
    <t>MORENO</t>
  </si>
  <si>
    <t>PRODUCCIÓN (01090)</t>
  </si>
  <si>
    <t>P6308213</t>
  </si>
  <si>
    <t>PEDRO LUIS</t>
  </si>
  <si>
    <t>VITORERO</t>
  </si>
  <si>
    <t>VENTAS (03439)</t>
  </si>
  <si>
    <t>J9286163</t>
  </si>
  <si>
    <t>JOAQUIN</t>
  </si>
  <si>
    <t>CABRERO</t>
  </si>
  <si>
    <t>PRODUCCIÓN (01124)</t>
  </si>
  <si>
    <t>M3989973</t>
  </si>
  <si>
    <t>MARIO</t>
  </si>
  <si>
    <t>LANZA</t>
  </si>
  <si>
    <t>PRODUCCIÓN (01127)</t>
  </si>
  <si>
    <t>M1426435</t>
  </si>
  <si>
    <t>CIA</t>
  </si>
  <si>
    <t>SAGARDOY</t>
  </si>
  <si>
    <t>SIN DEFINIR (01153)</t>
  </si>
  <si>
    <t>A2422013</t>
  </si>
  <si>
    <t>ALVARO</t>
  </si>
  <si>
    <t>BARRIO</t>
  </si>
  <si>
    <t>DELGADO</t>
  </si>
  <si>
    <t>JEFE DE ÁREA (01180)</t>
  </si>
  <si>
    <t>M0012709</t>
  </si>
  <si>
    <t>SAENZ</t>
  </si>
  <si>
    <t>ESCALONA</t>
  </si>
  <si>
    <t>PRODUCCIÓN (01193)</t>
  </si>
  <si>
    <t>I1096541</t>
  </si>
  <si>
    <t>IGNACIO</t>
  </si>
  <si>
    <t>HERCE</t>
  </si>
  <si>
    <t>ADALID</t>
  </si>
  <si>
    <t>PRODUCCIÓN (01229)</t>
  </si>
  <si>
    <t>O9997435</t>
  </si>
  <si>
    <t>OLGA</t>
  </si>
  <si>
    <t>FERNANDEZ DE LUCO</t>
  </si>
  <si>
    <t>ABADIA</t>
  </si>
  <si>
    <t>RESPONSABLE LOGÍSTICA (01235)</t>
  </si>
  <si>
    <t>J3490141</t>
  </si>
  <si>
    <t>URRUTIA</t>
  </si>
  <si>
    <t>SAN JUAN</t>
  </si>
  <si>
    <t>SIN DEFINIR (01240)</t>
  </si>
  <si>
    <t>A0702288</t>
  </si>
  <si>
    <t>AITOR</t>
  </si>
  <si>
    <t>SANTIBAÑEZ</t>
  </si>
  <si>
    <t>PRODUCCIÓN (01244)</t>
  </si>
  <si>
    <t>A1692880</t>
  </si>
  <si>
    <t>CORRALES</t>
  </si>
  <si>
    <t>PULIDO</t>
  </si>
  <si>
    <t>PRODUCCIÓN (01275)</t>
  </si>
  <si>
    <t>D8399181</t>
  </si>
  <si>
    <t>DEL AMO</t>
  </si>
  <si>
    <t>RESPONSABLE MANTENIMIENTO (01299)</t>
  </si>
  <si>
    <t>R1630694</t>
  </si>
  <si>
    <t>RAUL</t>
  </si>
  <si>
    <t>CARBO</t>
  </si>
  <si>
    <t>MUÑOZ</t>
  </si>
  <si>
    <t>01317 (JEFE DE ÁREA)</t>
  </si>
  <si>
    <t>SIN DEFINIR (04668)</t>
  </si>
  <si>
    <t>J0717255</t>
  </si>
  <si>
    <t>SALES</t>
  </si>
  <si>
    <t>GIL</t>
  </si>
  <si>
    <t>01438 (LOGÍSTICA)</t>
  </si>
  <si>
    <t>I6567006</t>
  </si>
  <si>
    <t>INES</t>
  </si>
  <si>
    <t>MALLEN</t>
  </si>
  <si>
    <t>MONTAÑES</t>
  </si>
  <si>
    <t>M7677633</t>
  </si>
  <si>
    <t>M5904071</t>
  </si>
  <si>
    <t>MARIA</t>
  </si>
  <si>
    <t>CASAS</t>
  </si>
  <si>
    <t>RASILLO</t>
  </si>
  <si>
    <t>VENTAS (01385)</t>
  </si>
  <si>
    <t>L7481817</t>
  </si>
  <si>
    <t>PRODUCCIÓN (01391)</t>
  </si>
  <si>
    <t>R5955364</t>
  </si>
  <si>
    <t>ROMAN</t>
  </si>
  <si>
    <t>MANSILLA</t>
  </si>
  <si>
    <t>GARCIA DONAS</t>
  </si>
  <si>
    <t>OPERACIONES DISTRIBUCIÓN (01438)</t>
  </si>
  <si>
    <t>F6446981</t>
  </si>
  <si>
    <t>FRANCISCO JOSE</t>
  </si>
  <si>
    <t>CEBRIAN</t>
  </si>
  <si>
    <t>SIN DEFINIR (01466)</t>
  </si>
  <si>
    <t>A3167958</t>
  </si>
  <si>
    <t>P6842735</t>
  </si>
  <si>
    <t>ALONSO</t>
  </si>
  <si>
    <t>AZORIN</t>
  </si>
  <si>
    <t>SIN DEFINIR (01472)</t>
  </si>
  <si>
    <t>J9593148</t>
  </si>
  <si>
    <t>JOSEBA KOLDO</t>
  </si>
  <si>
    <t>BILBAO</t>
  </si>
  <si>
    <t>DIRECTOR REGIONAL DE VENTAS (01485)</t>
  </si>
  <si>
    <t>SGID0009</t>
  </si>
  <si>
    <t>Nombre12</t>
  </si>
  <si>
    <t>Apellido12</t>
  </si>
  <si>
    <t>SGID1234</t>
  </si>
  <si>
    <t>SS012345</t>
  </si>
  <si>
    <t>Nombre22</t>
  </si>
  <si>
    <t>Apellido11</t>
  </si>
  <si>
    <t>Segapellido22</t>
  </si>
  <si>
    <t>J6982916</t>
  </si>
  <si>
    <t>BARRIONUEVO</t>
  </si>
  <si>
    <t>GRIMALDOS</t>
  </si>
  <si>
    <t>J5768651</t>
  </si>
  <si>
    <t>JOSE ANTONIO</t>
  </si>
  <si>
    <t>PIQUERAS</t>
  </si>
  <si>
    <t>DIAZ PERONA</t>
  </si>
  <si>
    <t>DIRECTOR DE DIVISIÓN (01526)</t>
  </si>
  <si>
    <t>J8152481</t>
  </si>
  <si>
    <t>ALVAREZ</t>
  </si>
  <si>
    <t>PRODUCCIÓN (01551)</t>
  </si>
  <si>
    <t>R5240001</t>
  </si>
  <si>
    <t>RAQUEL</t>
  </si>
  <si>
    <t>GUILLEN</t>
  </si>
  <si>
    <t>MOLINERO</t>
  </si>
  <si>
    <t>PRODUCCIÓN (01555)</t>
  </si>
  <si>
    <t>D5004487</t>
  </si>
  <si>
    <t>LARROSA</t>
  </si>
  <si>
    <t>CANO</t>
  </si>
  <si>
    <t>A3575764</t>
  </si>
  <si>
    <t>VENDRELL</t>
  </si>
  <si>
    <t>J2702276</t>
  </si>
  <si>
    <t>JUAN RAMON</t>
  </si>
  <si>
    <t>FERRANDIS</t>
  </si>
  <si>
    <t>VENTAS (01576)</t>
  </si>
  <si>
    <t>J7231919</t>
  </si>
  <si>
    <t>MENDEZ</t>
  </si>
  <si>
    <t>ESTEBAN</t>
  </si>
  <si>
    <t>A3485213</t>
  </si>
  <si>
    <t>SUBIAS</t>
  </si>
  <si>
    <t>LIERTA</t>
  </si>
  <si>
    <t>PRODUCCIÓN (01589)</t>
  </si>
  <si>
    <t>J9138648</t>
  </si>
  <si>
    <t>JOSE MARIA</t>
  </si>
  <si>
    <t>GUTIERREZ</t>
  </si>
  <si>
    <t>MATEO</t>
  </si>
  <si>
    <t>SIN DEFINIR (01700)</t>
  </si>
  <si>
    <t>G0003988</t>
  </si>
  <si>
    <t>GONZALO</t>
  </si>
  <si>
    <t>TERREN</t>
  </si>
  <si>
    <t>DIRECTOR DE FÁBRICA (01613)</t>
  </si>
  <si>
    <t>J9873482</t>
  </si>
  <si>
    <t>JOSE ANGEL</t>
  </si>
  <si>
    <t>LOPEZ</t>
  </si>
  <si>
    <t>GURRUCHAGA</t>
  </si>
  <si>
    <t>L5233121</t>
  </si>
  <si>
    <t>LUIS FERNANDO</t>
  </si>
  <si>
    <t>MARTIN</t>
  </si>
  <si>
    <t>MOMBLANT</t>
  </si>
  <si>
    <t>PRODUCCIÓN (01627)</t>
  </si>
  <si>
    <t>J2778182</t>
  </si>
  <si>
    <t>MORA</t>
  </si>
  <si>
    <t>03059 (LOGÍSTICA)</t>
  </si>
  <si>
    <t>V9086179</t>
  </si>
  <si>
    <t>VICTOR MANUEL</t>
  </si>
  <si>
    <t>CABRERA</t>
  </si>
  <si>
    <t>M0543103</t>
  </si>
  <si>
    <t>NOGUERA</t>
  </si>
  <si>
    <t>PRODUCCIÓN (01631)</t>
  </si>
  <si>
    <t>R1158863</t>
  </si>
  <si>
    <t>RAMON</t>
  </si>
  <si>
    <t>REYES</t>
  </si>
  <si>
    <t>RESPONSABLE SERV FABRICACIÓN (01633)</t>
  </si>
  <si>
    <t>A6653585</t>
  </si>
  <si>
    <t>LUNA</t>
  </si>
  <si>
    <t>LIBRERO</t>
  </si>
  <si>
    <t>DIRECTOR DE FÁBRICA (01662)</t>
  </si>
  <si>
    <t>D8102953</t>
  </si>
  <si>
    <t>DANIEL</t>
  </si>
  <si>
    <t>GALAN</t>
  </si>
  <si>
    <t>AGUNDEZ</t>
  </si>
  <si>
    <t>M0144876</t>
  </si>
  <si>
    <t>MARCOS</t>
  </si>
  <si>
    <t>BOTELLA</t>
  </si>
  <si>
    <t>MONTIEL</t>
  </si>
  <si>
    <t>V2068289</t>
  </si>
  <si>
    <t>POMARES</t>
  </si>
  <si>
    <t>JAEN</t>
  </si>
  <si>
    <t>L4660562</t>
  </si>
  <si>
    <t>LAGUNA</t>
  </si>
  <si>
    <t>LOGÍSTICA (01685)</t>
  </si>
  <si>
    <t>V9777605</t>
  </si>
  <si>
    <t>VANESA</t>
  </si>
  <si>
    <t>SOLSONA</t>
  </si>
  <si>
    <t>RAMIREZ</t>
  </si>
  <si>
    <t>PRODUCCIÓN (01696)</t>
  </si>
  <si>
    <t>S5892027</t>
  </si>
  <si>
    <t>SERGIO</t>
  </si>
  <si>
    <t>ALFONSO</t>
  </si>
  <si>
    <t>CARBONELL</t>
  </si>
  <si>
    <t>PRODUCCIÓN (01698)</t>
  </si>
  <si>
    <t>F9876087</t>
  </si>
  <si>
    <t>BOUTHELIER</t>
  </si>
  <si>
    <t>MORATO</t>
  </si>
  <si>
    <t>L7514498</t>
  </si>
  <si>
    <t>GIMENO</t>
  </si>
  <si>
    <t>ALCALA</t>
  </si>
  <si>
    <t>JEFE DE COMPRAS DE CENTRO (01711)</t>
  </si>
  <si>
    <t>J0469011</t>
  </si>
  <si>
    <t>VENTAS (02655)</t>
  </si>
  <si>
    <t>A4621755</t>
  </si>
  <si>
    <t>ALBERTO</t>
  </si>
  <si>
    <t>PUAGO</t>
  </si>
  <si>
    <t>CRESPO</t>
  </si>
  <si>
    <t>M8781732</t>
  </si>
  <si>
    <t>TAMARAL</t>
  </si>
  <si>
    <t>V2925369</t>
  </si>
  <si>
    <t>VERONICA</t>
  </si>
  <si>
    <t>SARGUES</t>
  </si>
  <si>
    <t>BORT</t>
  </si>
  <si>
    <t>JEFE DE ÁREA (01730)</t>
  </si>
  <si>
    <t>J6185390</t>
  </si>
  <si>
    <t>ABAD</t>
  </si>
  <si>
    <t>MORANDEIRA</t>
  </si>
  <si>
    <t>OPERACIONES DISTRIBUCIÓN (01806)</t>
  </si>
  <si>
    <t>M3402949</t>
  </si>
  <si>
    <t>MUIÑOS</t>
  </si>
  <si>
    <t>04403 (LOGÍSTICA)</t>
  </si>
  <si>
    <t>J6399199</t>
  </si>
  <si>
    <t>JORDI</t>
  </si>
  <si>
    <t>ESTELLERS</t>
  </si>
  <si>
    <t>CASTELLVI</t>
  </si>
  <si>
    <t>SIN DEFINIR (00131)</t>
  </si>
  <si>
    <t>A7005471</t>
  </si>
  <si>
    <t>ANA MARTA</t>
  </si>
  <si>
    <t>Y2236249</t>
  </si>
  <si>
    <t>MIREN YOSUNE</t>
  </si>
  <si>
    <t>YEREGUI</t>
  </si>
  <si>
    <t>SIN DEFINIR (01894)</t>
  </si>
  <si>
    <t>P5933312</t>
  </si>
  <si>
    <t>PEDRO ANGEL</t>
  </si>
  <si>
    <t>BARCINA</t>
  </si>
  <si>
    <t>URDANIBIA</t>
  </si>
  <si>
    <t>PRODUCCIÓN (01895)</t>
  </si>
  <si>
    <t>G3229318</t>
  </si>
  <si>
    <t>LASIERRA</t>
  </si>
  <si>
    <t>LAPLANA</t>
  </si>
  <si>
    <t>DIRECTOR INDUSTRIAL (01945)</t>
  </si>
  <si>
    <t>J2543295</t>
  </si>
  <si>
    <t>JORGE VICENTE</t>
  </si>
  <si>
    <t>RIUS</t>
  </si>
  <si>
    <t>PUIG</t>
  </si>
  <si>
    <t>M9973867</t>
  </si>
  <si>
    <t>MONICA</t>
  </si>
  <si>
    <t>ANTIQUEIRA</t>
  </si>
  <si>
    <t>VENTAS (01973)</t>
  </si>
  <si>
    <t>V0741212</t>
  </si>
  <si>
    <t>VICENTE JULIO</t>
  </si>
  <si>
    <t>BLASCO</t>
  </si>
  <si>
    <t>TITO</t>
  </si>
  <si>
    <t>GERENTE DE CRÉDITOS (01987)</t>
  </si>
  <si>
    <t>J9571630</t>
  </si>
  <si>
    <t>JOSE LUIS</t>
  </si>
  <si>
    <t>DIEZ</t>
  </si>
  <si>
    <t>VENTAS (01991)</t>
  </si>
  <si>
    <t>J7446134</t>
  </si>
  <si>
    <t>MOLERO</t>
  </si>
  <si>
    <t>A4598195</t>
  </si>
  <si>
    <t>ALFREDO</t>
  </si>
  <si>
    <t>VILLA</t>
  </si>
  <si>
    <t>CELDRAN</t>
  </si>
  <si>
    <t>PRODUCCIÓN (02018)</t>
  </si>
  <si>
    <t>M9785960</t>
  </si>
  <si>
    <t>MONTSERRAT</t>
  </si>
  <si>
    <t>SIN DEFINIR (02022)</t>
  </si>
  <si>
    <t>I7600760</t>
  </si>
  <si>
    <t>ISMAEL</t>
  </si>
  <si>
    <t>CIVIT</t>
  </si>
  <si>
    <t>NOGUES</t>
  </si>
  <si>
    <t>J9341213</t>
  </si>
  <si>
    <t>GALLEGO</t>
  </si>
  <si>
    <t>DIRECTOR DE MARKETING (02040)</t>
  </si>
  <si>
    <t>J4844769</t>
  </si>
  <si>
    <t>SERRA</t>
  </si>
  <si>
    <t>BOSCH</t>
  </si>
  <si>
    <t>DIRECTOR REGIONAL DE VENTAS (02064)</t>
  </si>
  <si>
    <t>ASDV0023</t>
  </si>
  <si>
    <t>ASFG0023</t>
  </si>
  <si>
    <t>nombre</t>
  </si>
  <si>
    <t>apellido</t>
  </si>
  <si>
    <t>SS012388</t>
  </si>
  <si>
    <t>NombreSS</t>
  </si>
  <si>
    <t>ApellidoAS</t>
  </si>
  <si>
    <t>SegapellidoD</t>
  </si>
  <si>
    <t>Nombre</t>
  </si>
  <si>
    <t>Apellido</t>
  </si>
  <si>
    <t>Segapellido</t>
  </si>
  <si>
    <t>J9529977</t>
  </si>
  <si>
    <t>CABALLERO</t>
  </si>
  <si>
    <t>C9446654</t>
  </si>
  <si>
    <t>CHRISTIAN FRANC</t>
  </si>
  <si>
    <t>DOMENECH</t>
  </si>
  <si>
    <t>SIN DEFINIR (02283)</t>
  </si>
  <si>
    <t>L0082750</t>
  </si>
  <si>
    <t>LLUIS</t>
  </si>
  <si>
    <t>MOLINS</t>
  </si>
  <si>
    <t>FABREGA</t>
  </si>
  <si>
    <t>SIN DEFINIR (03265)</t>
  </si>
  <si>
    <t>G2953728</t>
  </si>
  <si>
    <t>GENOVEVA</t>
  </si>
  <si>
    <t>PUJOL</t>
  </si>
  <si>
    <t>VILARO</t>
  </si>
  <si>
    <t>OPERACIONES DISTRIBUCIÓN (02335)</t>
  </si>
  <si>
    <t>L1210414</t>
  </si>
  <si>
    <t>DE PABLO</t>
  </si>
  <si>
    <t>OPERACIONES DISTRIBUCIÓN (02394)</t>
  </si>
  <si>
    <t>M6667228</t>
  </si>
  <si>
    <t>MIREIA</t>
  </si>
  <si>
    <t>BERGADA</t>
  </si>
  <si>
    <t>PUJADES</t>
  </si>
  <si>
    <t>PRODUCCIÓN (02349)</t>
  </si>
  <si>
    <t>M1155913</t>
  </si>
  <si>
    <t>AGUSTI</t>
  </si>
  <si>
    <t>SIN DEFINIR (02394)</t>
  </si>
  <si>
    <t>A3258905</t>
  </si>
  <si>
    <t>MARCILLA</t>
  </si>
  <si>
    <t>BASTIDA</t>
  </si>
  <si>
    <t>RESPONSABLE SERV FABRICACIÓN (02402)</t>
  </si>
  <si>
    <t>F5762639</t>
  </si>
  <si>
    <t>FERRAN</t>
  </si>
  <si>
    <t>DEULOFEU</t>
  </si>
  <si>
    <t>VERGES</t>
  </si>
  <si>
    <t>JEFE DE ÁREA (02425)</t>
  </si>
  <si>
    <t>M9111698</t>
  </si>
  <si>
    <t>MARC</t>
  </si>
  <si>
    <t>CLOP</t>
  </si>
  <si>
    <t>CANTERO</t>
  </si>
  <si>
    <t>A3417212</t>
  </si>
  <si>
    <t>RESPONSABLE LOGÍSTICA (02437)</t>
  </si>
  <si>
    <t>P6179430</t>
  </si>
  <si>
    <t>PEIO MARIA</t>
  </si>
  <si>
    <t>LAMARCA</t>
  </si>
  <si>
    <t>ESQUISABEL</t>
  </si>
  <si>
    <t>01894 (LOGÍSTICA)</t>
  </si>
  <si>
    <t>M1243839</t>
  </si>
  <si>
    <t>MARIA MILAGROS</t>
  </si>
  <si>
    <t>RECURSOS HUMANOS (02469)</t>
  </si>
  <si>
    <t>A4544160</t>
  </si>
  <si>
    <t>TRUJILLO</t>
  </si>
  <si>
    <t>HELD</t>
  </si>
  <si>
    <t>Y3223618</t>
  </si>
  <si>
    <t>YOLANDA</t>
  </si>
  <si>
    <t>PERALTA</t>
  </si>
  <si>
    <t>ROSALEN</t>
  </si>
  <si>
    <t>F1158861</t>
  </si>
  <si>
    <t>UBEDA</t>
  </si>
  <si>
    <t>PRODUCCIÓN (02577)</t>
  </si>
  <si>
    <t>H7461208</t>
  </si>
  <si>
    <t>HIGINIO</t>
  </si>
  <si>
    <t>RUFANGES</t>
  </si>
  <si>
    <t>ZORITA</t>
  </si>
  <si>
    <t>SIN DEFINIR (02552)</t>
  </si>
  <si>
    <t>E3066917</t>
  </si>
  <si>
    <t>EDUARDO</t>
  </si>
  <si>
    <t>A9859396</t>
  </si>
  <si>
    <t>ANA ISABEL</t>
  </si>
  <si>
    <t>MITJAVILA</t>
  </si>
  <si>
    <t>SIN DEFINIR (02641)</t>
  </si>
  <si>
    <t>SIN DEFINIR (02655)</t>
  </si>
  <si>
    <t>E3234664</t>
  </si>
  <si>
    <t>ESTHER</t>
  </si>
  <si>
    <t>PRAT</t>
  </si>
  <si>
    <t>DIRECTOR I+D (02673)</t>
  </si>
  <si>
    <t>C7169588</t>
  </si>
  <si>
    <t>JEFE VENTAS - OPERACIÓN DISTR (02771)</t>
  </si>
  <si>
    <t>M2800289</t>
  </si>
  <si>
    <t>A7527556</t>
  </si>
  <si>
    <t>ANASTASIO</t>
  </si>
  <si>
    <t>MARTIN GIL</t>
  </si>
  <si>
    <t>ROMERO HOMBREBU</t>
  </si>
  <si>
    <t>A6687307</t>
  </si>
  <si>
    <t>DIRECTOR LOGÍSTICA (02834)</t>
  </si>
  <si>
    <t>R3817235</t>
  </si>
  <si>
    <t>RAUL GASPAR</t>
  </si>
  <si>
    <t>TORRENT</t>
  </si>
  <si>
    <t>A8361287</t>
  </si>
  <si>
    <t>ALEJANDRO</t>
  </si>
  <si>
    <t>PRODUCCIÓN (02901)</t>
  </si>
  <si>
    <t>E0049784</t>
  </si>
  <si>
    <t>ELOI</t>
  </si>
  <si>
    <t>OPERACIONES DISTRIBUCIÓN (02936)</t>
  </si>
  <si>
    <t>R4422109</t>
  </si>
  <si>
    <t>RUBEN</t>
  </si>
  <si>
    <t>BERNETE</t>
  </si>
  <si>
    <t>LOGÍSTICA (02971)</t>
  </si>
  <si>
    <t>A1137670</t>
  </si>
  <si>
    <t>ESCOLAR</t>
  </si>
  <si>
    <t>VENTAS (02283)</t>
  </si>
  <si>
    <t>A4769333</t>
  </si>
  <si>
    <t>DURAN</t>
  </si>
  <si>
    <t>OPERACIONES DISTRIBUCIÓN (03059)</t>
  </si>
  <si>
    <t>F1270653</t>
  </si>
  <si>
    <t>BUENO</t>
  </si>
  <si>
    <t>JEFE VENTAS - OPERACIÓN DISTR (03115)</t>
  </si>
  <si>
    <t>A3284599</t>
  </si>
  <si>
    <t>ANGELICA</t>
  </si>
  <si>
    <t>JEFE DE PRODUCTO (03137)</t>
  </si>
  <si>
    <t>S4815932</t>
  </si>
  <si>
    <t>SAMUEL</t>
  </si>
  <si>
    <t>ZUÑIGA</t>
  </si>
  <si>
    <t>DIRECTOR DE FÁBRICA (03139)</t>
  </si>
  <si>
    <t>R0171065</t>
  </si>
  <si>
    <t>ILLESCAS</t>
  </si>
  <si>
    <t>SANCHEZ ORTIZ</t>
  </si>
  <si>
    <t>LOGÍSTICA (03140)</t>
  </si>
  <si>
    <t>J6853473</t>
  </si>
  <si>
    <t>MONTALVO</t>
  </si>
  <si>
    <t>CAMPOS</t>
  </si>
  <si>
    <t>PRODUCCIÓN (03218)</t>
  </si>
  <si>
    <t>J9850638</t>
  </si>
  <si>
    <t>CARMONA</t>
  </si>
  <si>
    <t>R9966182</t>
  </si>
  <si>
    <t>LIEBANA</t>
  </si>
  <si>
    <t>ARCHIVET</t>
  </si>
  <si>
    <t>JEFE VENTAS - OPERACIÓN DISTR (03338)</t>
  </si>
  <si>
    <t>SIN DEFINIR (03363)</t>
  </si>
  <si>
    <t>A5709653</t>
  </si>
  <si>
    <t>OLMO</t>
  </si>
  <si>
    <t>MELGAR</t>
  </si>
  <si>
    <t>PRODUCCIÓN (03407)</t>
  </si>
  <si>
    <t>J4386477</t>
  </si>
  <si>
    <t>MORILLA</t>
  </si>
  <si>
    <t>PRODUCCIÓN (03416)</t>
  </si>
  <si>
    <t>A4260911</t>
  </si>
  <si>
    <t>ADOLFO</t>
  </si>
  <si>
    <t>SOMOLINOS</t>
  </si>
  <si>
    <t>OREJON</t>
  </si>
  <si>
    <t>RESPONSABLE DE ESTUDIOS MKG (03429)</t>
  </si>
  <si>
    <t>SIN DEFINIR (03439)</t>
  </si>
  <si>
    <t>F3680745</t>
  </si>
  <si>
    <t>FRANCISCO J.</t>
  </si>
  <si>
    <t>02641 (LOGÍSTICA)</t>
  </si>
  <si>
    <t>J5981626</t>
  </si>
  <si>
    <t>OCETE</t>
  </si>
  <si>
    <t>MARKETING (03500)</t>
  </si>
  <si>
    <t>F9551809</t>
  </si>
  <si>
    <t>REDONDO</t>
  </si>
  <si>
    <t>PRODUCCIÓN (03546)</t>
  </si>
  <si>
    <t>R3596443</t>
  </si>
  <si>
    <t>TRIGOS</t>
  </si>
  <si>
    <t>DIRECTOR RECURSOS HUMANOS (03575)</t>
  </si>
  <si>
    <t>J8747692</t>
  </si>
  <si>
    <t>JENNIFER</t>
  </si>
  <si>
    <t>CACERES</t>
  </si>
  <si>
    <t>QUINTANA</t>
  </si>
  <si>
    <t>ADMINISTRACIÓN (03602)</t>
  </si>
  <si>
    <t>OPERACIONES DISTRIBUCIÓN (03363)</t>
  </si>
  <si>
    <t>I7906159</t>
  </si>
  <si>
    <t>GALVEZ</t>
  </si>
  <si>
    <t>F1960010</t>
  </si>
  <si>
    <t>FRANCISCO</t>
  </si>
  <si>
    <t>TAPIA</t>
  </si>
  <si>
    <t>VALOR</t>
  </si>
  <si>
    <t>J7046856</t>
  </si>
  <si>
    <t>PRODUCCIÓN (03823)</t>
  </si>
  <si>
    <t>F1775183</t>
  </si>
  <si>
    <t>MARRERO</t>
  </si>
  <si>
    <t>DIRECTOR DE FÁBRICA (03836)</t>
  </si>
  <si>
    <t>B4736339</t>
  </si>
  <si>
    <t>BLANCA LUNA</t>
  </si>
  <si>
    <t>CORRAL</t>
  </si>
  <si>
    <t>CORDERO</t>
  </si>
  <si>
    <t>VENTAS (03858)</t>
  </si>
  <si>
    <t>PRODUCCIÓN (03893)</t>
  </si>
  <si>
    <t>R4393033</t>
  </si>
  <si>
    <t>FRANCIA</t>
  </si>
  <si>
    <t>YANGUAS</t>
  </si>
  <si>
    <t>PRODUCCIÓN (03921)</t>
  </si>
  <si>
    <t>D5989930</t>
  </si>
  <si>
    <t>LOZANO</t>
  </si>
  <si>
    <t>MEDIO AMBIENTE (03929)</t>
  </si>
  <si>
    <t>J5498073</t>
  </si>
  <si>
    <t>JOSE RAMON</t>
  </si>
  <si>
    <t>ARGÜESO</t>
  </si>
  <si>
    <t>IZQUIERDO</t>
  </si>
  <si>
    <t>J7707905</t>
  </si>
  <si>
    <t>LABANDA</t>
  </si>
  <si>
    <t>PRODUCCIÓN (03945)</t>
  </si>
  <si>
    <t>D2301615</t>
  </si>
  <si>
    <t>PRODUCCIÓN (03954)</t>
  </si>
  <si>
    <t>M5535070</t>
  </si>
  <si>
    <t>MENENDEZ</t>
  </si>
  <si>
    <t>RESPONSABLE SERV FABRICACIÓN (04012)</t>
  </si>
  <si>
    <t>S6464703</t>
  </si>
  <si>
    <t>SARA</t>
  </si>
  <si>
    <t>BAHILLO</t>
  </si>
  <si>
    <t>PRODUCCIÓN (04114)</t>
  </si>
  <si>
    <t>F7394324</t>
  </si>
  <si>
    <t>PRODUCCIÓN (04119)</t>
  </si>
  <si>
    <t>J3577552</t>
  </si>
  <si>
    <t>DEL BARRIO</t>
  </si>
  <si>
    <t>GIMENEZ</t>
  </si>
  <si>
    <t>PRODUCCIÓN (04159)</t>
  </si>
  <si>
    <t>VENTAS (04648)</t>
  </si>
  <si>
    <t>S4017070</t>
  </si>
  <si>
    <t>LAMADRID</t>
  </si>
  <si>
    <t>MONTE</t>
  </si>
  <si>
    <t>PRODUCCIÓN (04190)</t>
  </si>
  <si>
    <t>A5358571</t>
  </si>
  <si>
    <t>ADRIAN</t>
  </si>
  <si>
    <t>PALACIO</t>
  </si>
  <si>
    <t>PRODUCCIÓN (04193)</t>
  </si>
  <si>
    <t>A3127479</t>
  </si>
  <si>
    <t>CARRAL</t>
  </si>
  <si>
    <t>PRODUCCIÓN (04199)</t>
  </si>
  <si>
    <t>A6553191</t>
  </si>
  <si>
    <t>ANTONIO M.</t>
  </si>
  <si>
    <t>DE LA FUENTE</t>
  </si>
  <si>
    <t>PRODUCCIÓN (04219)</t>
  </si>
  <si>
    <t>A9899465</t>
  </si>
  <si>
    <t>PRODUCCIÓN (04231)</t>
  </si>
  <si>
    <t>J6902405</t>
  </si>
  <si>
    <t>JOSE ALBERTO</t>
  </si>
  <si>
    <t>O6624891</t>
  </si>
  <si>
    <t>OSCAR</t>
  </si>
  <si>
    <t>GUITIAN</t>
  </si>
  <si>
    <t>MIER</t>
  </si>
  <si>
    <t>PRODUCCIÓN (04248)</t>
  </si>
  <si>
    <t>S3084275</t>
  </si>
  <si>
    <t>SENOSIAIN</t>
  </si>
  <si>
    <t>R7419095</t>
  </si>
  <si>
    <t>BEZARES</t>
  </si>
  <si>
    <t>SANABRIA</t>
  </si>
  <si>
    <t>A2056971</t>
  </si>
  <si>
    <t>ANTON</t>
  </si>
  <si>
    <t>ESCRIBANO</t>
  </si>
  <si>
    <t>PRODUCCIÓN (04309)</t>
  </si>
  <si>
    <t>D6566115</t>
  </si>
  <si>
    <t>DIEGO</t>
  </si>
  <si>
    <t>ESTRUC</t>
  </si>
  <si>
    <t>ALTABAS</t>
  </si>
  <si>
    <t>ADMINISTRACIÓN (04330)</t>
  </si>
  <si>
    <t>M6674420</t>
  </si>
  <si>
    <t>ALIACAR</t>
  </si>
  <si>
    <t>SALVADOR</t>
  </si>
  <si>
    <t>PRODUCCIÓN (04361)</t>
  </si>
  <si>
    <t>F4038832</t>
  </si>
  <si>
    <t>FRANCISCO DANIEL</t>
  </si>
  <si>
    <t>SORIANO</t>
  </si>
  <si>
    <t>MAÑES</t>
  </si>
  <si>
    <t>PRODUCCIÓN (04388)</t>
  </si>
  <si>
    <t>SIN DEFINIR (04403)</t>
  </si>
  <si>
    <t>I2569958</t>
  </si>
  <si>
    <t>ESPINOSA</t>
  </si>
  <si>
    <t>F9397311</t>
  </si>
  <si>
    <t>FRANCISCO MANUEL</t>
  </si>
  <si>
    <t>CIVANTOS</t>
  </si>
  <si>
    <t>BARDAJI</t>
  </si>
  <si>
    <t>PRODUCCIÓN (04415)</t>
  </si>
  <si>
    <t>L6086924</t>
  </si>
  <si>
    <t>LUCIA</t>
  </si>
  <si>
    <t>RESPONSABLE MSH (04512)</t>
  </si>
  <si>
    <t>M4465700</t>
  </si>
  <si>
    <t>ANDREU</t>
  </si>
  <si>
    <t>TORRENTS</t>
  </si>
  <si>
    <t>SIN DEFINIR (04546)</t>
  </si>
  <si>
    <t>P4163844</t>
  </si>
  <si>
    <t>JORNET</t>
  </si>
  <si>
    <t>RIVERO</t>
  </si>
  <si>
    <t>J7470928</t>
  </si>
  <si>
    <t>JAIME</t>
  </si>
  <si>
    <t>FORCADA</t>
  </si>
  <si>
    <t>CATAÑO</t>
  </si>
  <si>
    <t>DIRECTOR DE FÁBRICA (04568)</t>
  </si>
  <si>
    <t>A1778775</t>
  </si>
  <si>
    <t>M0348763</t>
  </si>
  <si>
    <t>MARIA ANGELS</t>
  </si>
  <si>
    <t>MATEU</t>
  </si>
  <si>
    <t>M9469528</t>
  </si>
  <si>
    <t>QUEVEDO</t>
  </si>
  <si>
    <t>PRODUCCIÓN (04635)</t>
  </si>
  <si>
    <t>D0601716</t>
  </si>
  <si>
    <t>TOLEDO</t>
  </si>
  <si>
    <t>M5277654</t>
  </si>
  <si>
    <t>GRIFOLL</t>
  </si>
  <si>
    <t>PRODUCCIÓN (04641)</t>
  </si>
  <si>
    <t>SIN DEFINIR (04648)</t>
  </si>
  <si>
    <t>F2867294</t>
  </si>
  <si>
    <t>FREDERICO JORGE LOURENCO</t>
  </si>
  <si>
    <t>CARIA</t>
  </si>
  <si>
    <t>M4485241</t>
  </si>
  <si>
    <t>MICHELANGELO</t>
  </si>
  <si>
    <t>BOTTERO</t>
  </si>
  <si>
    <t>VILLEGAS</t>
  </si>
  <si>
    <t>DIRECTOR FINANCIERO (04670)</t>
  </si>
  <si>
    <t>P8661589</t>
  </si>
  <si>
    <t>PHILIPPE</t>
  </si>
  <si>
    <t>MESUREUR</t>
  </si>
  <si>
    <t>.</t>
  </si>
  <si>
    <t>VENTAS (02641)</t>
  </si>
  <si>
    <t>J6019249</t>
  </si>
  <si>
    <t>JHONN MARX</t>
  </si>
  <si>
    <t>SALAZAR</t>
  </si>
  <si>
    <t>PRODUCCIÓN (04772)</t>
  </si>
  <si>
    <t>H9345495</t>
  </si>
  <si>
    <t>HELÉNE MARIE</t>
  </si>
  <si>
    <t>BOIS</t>
  </si>
  <si>
    <t>-</t>
  </si>
  <si>
    <t>RESP CALIDAD GENERALISTA (04789)</t>
  </si>
  <si>
    <t>J9332943</t>
  </si>
  <si>
    <t>CASO</t>
  </si>
  <si>
    <t>HOMBRADOS</t>
  </si>
  <si>
    <t>SGID1033</t>
  </si>
  <si>
    <t>MGC</t>
  </si>
  <si>
    <t>MGC003</t>
  </si>
  <si>
    <t>MGC 03</t>
  </si>
  <si>
    <t>MGC001</t>
  </si>
  <si>
    <t>MGC004</t>
  </si>
  <si>
    <t>MGC 04</t>
  </si>
  <si>
    <t>J8235507</t>
  </si>
  <si>
    <t>MGC002</t>
  </si>
  <si>
    <t>ESTRECHA</t>
  </si>
  <si>
    <t>A5238573</t>
  </si>
  <si>
    <t>PAREDES</t>
  </si>
  <si>
    <t>BLANCO</t>
  </si>
  <si>
    <t>R0952538</t>
  </si>
  <si>
    <t>RAFAEL DAVID</t>
  </si>
  <si>
    <t>CALVO</t>
  </si>
  <si>
    <t>SASTRE</t>
  </si>
  <si>
    <t>PRU</t>
  </si>
  <si>
    <t>Pruebas</t>
  </si>
  <si>
    <t>ROOT</t>
  </si>
  <si>
    <t>M7207713</t>
  </si>
  <si>
    <t>MORANTE</t>
  </si>
  <si>
    <t>MD GLASSOLUTIONS SPAIN</t>
  </si>
  <si>
    <t>J0041893</t>
  </si>
  <si>
    <t>JEAN LUC</t>
  </si>
  <si>
    <t>GARDAZ</t>
  </si>
  <si>
    <t>P5462583</t>
  </si>
  <si>
    <t>PATRICIA</t>
  </si>
  <si>
    <t>FUENTES</t>
  </si>
  <si>
    <t>MAYORDOMO</t>
  </si>
  <si>
    <t>J5037045</t>
  </si>
  <si>
    <t>JULIA</t>
  </si>
  <si>
    <t>URABAYEN</t>
  </si>
  <si>
    <t>MD ABRAS EPM &amp; SPAIN SALES D. DIY, AAM &amp; BM</t>
  </si>
  <si>
    <t>R8403360</t>
  </si>
  <si>
    <t>EUSEBIO</t>
  </si>
  <si>
    <t>Y7812568</t>
  </si>
  <si>
    <t>QUICIOS</t>
  </si>
  <si>
    <t>CARO</t>
  </si>
  <si>
    <t>MD INCUSA</t>
  </si>
  <si>
    <t>I3493455</t>
  </si>
  <si>
    <t>INMACULADA</t>
  </si>
  <si>
    <t>SAEZ</t>
  </si>
  <si>
    <t>RENUNCIO</t>
  </si>
  <si>
    <t>MD SG ADFORS</t>
  </si>
  <si>
    <t>S8384087</t>
  </si>
  <si>
    <t>SUSANA</t>
  </si>
  <si>
    <t>BUTRAGUEÑO</t>
  </si>
  <si>
    <t>M7044533</t>
  </si>
  <si>
    <t>MARIA ISABEL</t>
  </si>
  <si>
    <t>AEDO</t>
  </si>
  <si>
    <t>RODRIGO</t>
  </si>
  <si>
    <t>MD SG PPL</t>
  </si>
  <si>
    <t>N2509440</t>
  </si>
  <si>
    <t>NOELIA</t>
  </si>
  <si>
    <t>FRANCES</t>
  </si>
  <si>
    <t>BERNAL</t>
  </si>
  <si>
    <t>PLANT MGR SG DEVISA</t>
  </si>
  <si>
    <t>M4008365</t>
  </si>
  <si>
    <t>MARIA BELEN</t>
  </si>
  <si>
    <t>FELIX</t>
  </si>
  <si>
    <t>A6363564</t>
  </si>
  <si>
    <t>LEON</t>
  </si>
  <si>
    <t>LEGAL DIRECTOR&amp; REAL ESTATE MANAGER</t>
  </si>
  <si>
    <t>V6468070</t>
  </si>
  <si>
    <t>BARRERA</t>
  </si>
  <si>
    <t>TORO</t>
  </si>
  <si>
    <t>J8902241</t>
  </si>
  <si>
    <t>JOSE FILIPE MACIEL</t>
  </si>
  <si>
    <t>V4868064</t>
  </si>
  <si>
    <t>VIRGINIA</t>
  </si>
  <si>
    <t>MORALES</t>
  </si>
  <si>
    <t>TORRES</t>
  </si>
  <si>
    <t>E8315205</t>
  </si>
  <si>
    <t>ESTEFANIA</t>
  </si>
  <si>
    <t>PLANT MANAGER AZUQUECA ISOVER</t>
  </si>
  <si>
    <t>A5895481</t>
  </si>
  <si>
    <t>ANTONIO JOAQUIN</t>
  </si>
  <si>
    <t>L6727773</t>
  </si>
  <si>
    <t>DE SA</t>
  </si>
  <si>
    <t>AVILES PLANT MANAGER SGS</t>
  </si>
  <si>
    <t>C3084002</t>
  </si>
  <si>
    <t>CRISTINA</t>
  </si>
  <si>
    <t>PALOMARES</t>
  </si>
  <si>
    <t>C6644203</t>
  </si>
  <si>
    <t>CARMEN</t>
  </si>
  <si>
    <t>FERNANDEZ-CABALLERO</t>
  </si>
  <si>
    <t>A5205505</t>
  </si>
  <si>
    <t>ANTONIO JESUS</t>
  </si>
  <si>
    <t>DEL ARCO</t>
  </si>
  <si>
    <t>MD SG PAM SPAIN &amp; PORTUGAL</t>
  </si>
  <si>
    <t>VETROTECH - COUNTRY MANAGER</t>
  </si>
  <si>
    <t>SALES MGR SG PLACO</t>
  </si>
  <si>
    <t>B9324934</t>
  </si>
  <si>
    <t>BLANCA</t>
  </si>
  <si>
    <t>MD SG AUTOVER ESPAÑA</t>
  </si>
  <si>
    <t>M9541281</t>
  </si>
  <si>
    <t>MARIA ANGELES</t>
  </si>
  <si>
    <t>MD SG GLASSDRIVE ESPAÑA</t>
  </si>
  <si>
    <t>D3115430</t>
  </si>
  <si>
    <t>SILGADO</t>
  </si>
  <si>
    <t>MORENA</t>
  </si>
  <si>
    <t>CUSTOMER SERV.&amp;PRICING ANALYSIS MGR UPSTREAM BG SP</t>
  </si>
  <si>
    <t>B4939781</t>
  </si>
  <si>
    <t>BEATRIZ</t>
  </si>
  <si>
    <t>SIRVENT</t>
  </si>
  <si>
    <t>J3003048</t>
  </si>
  <si>
    <t>CUSIDO</t>
  </si>
  <si>
    <t>BALLESTEROS</t>
  </si>
  <si>
    <t>J. FABRICA SG TRANSFORMADOS</t>
  </si>
  <si>
    <t>M6065395</t>
  </si>
  <si>
    <t>MARIA MERCEDES</t>
  </si>
  <si>
    <t>ARAQUE</t>
  </si>
  <si>
    <t>MD MORTARS ACTIVITY SPAIN</t>
  </si>
  <si>
    <t>P0740311</t>
  </si>
  <si>
    <t>TORES</t>
  </si>
  <si>
    <t>DISTRIPLAC BUSINESSS UNIT MGR &amp; SALES MGR</t>
  </si>
  <si>
    <t>D9233924</t>
  </si>
  <si>
    <t>M2406166</t>
  </si>
  <si>
    <t>MIGUEL-ANGEL</t>
  </si>
  <si>
    <t>MATEOS</t>
  </si>
  <si>
    <t>HONTANILLA</t>
  </si>
  <si>
    <t>PURCHASING DIRECTOR E-P-M-A-I-G</t>
  </si>
  <si>
    <t>MD SG PLACO &amp; SG ISOVER &amp; SG TRANSFORMADOS SPAIN</t>
  </si>
  <si>
    <t>E3965521</t>
  </si>
  <si>
    <t>EVA MARIA</t>
  </si>
  <si>
    <t>ESLAVA</t>
  </si>
  <si>
    <t>HRD SPAIN, PORTUGAL, MOROCCO &amp; ALGERIA</t>
  </si>
  <si>
    <t>CFO SPAIN PORTUGAL &amp; MOROCCO</t>
  </si>
  <si>
    <t>M8037337</t>
  </si>
  <si>
    <t>MILAGROS</t>
  </si>
  <si>
    <t>J5198324</t>
  </si>
  <si>
    <t>CRISTOBAL</t>
  </si>
  <si>
    <t>RESP. TALENT, TRAINING &amp; DEVELOP. GLASS &amp; GLASSOLU</t>
  </si>
  <si>
    <t>SGID</t>
  </si>
  <si>
    <t>Primer apellido</t>
  </si>
  <si>
    <t>Segundo apellido</t>
  </si>
  <si>
    <t>Unidad Org</t>
  </si>
  <si>
    <t>Nombre Unidad org</t>
  </si>
  <si>
    <t>SGID Resp Pos</t>
  </si>
  <si>
    <t>SGID Resp HR</t>
  </si>
  <si>
    <t>Nombre Resp Pos</t>
  </si>
  <si>
    <t>Nombre Resp HR</t>
  </si>
  <si>
    <t>Primer apellido Resp Pos</t>
  </si>
  <si>
    <t>Primer apellido Resp HR</t>
  </si>
  <si>
    <t>Segundo apellido Resp Pos</t>
  </si>
  <si>
    <t>Segundo apellido Resp HR</t>
  </si>
  <si>
    <t>Record Type</t>
  </si>
  <si>
    <t>Box Sequence</t>
  </si>
  <si>
    <t>Empresa</t>
  </si>
  <si>
    <t>J3166314</t>
  </si>
  <si>
    <t>BARRIUSO</t>
  </si>
  <si>
    <t>PRODUCCIÓN (00672)</t>
  </si>
  <si>
    <t>PEND</t>
  </si>
  <si>
    <t>P1347347</t>
  </si>
  <si>
    <t>PEDRO-PABLO</t>
  </si>
  <si>
    <t>MAZON</t>
  </si>
  <si>
    <t>INVESTIGACIÓN Y DESARROLLO (00601)</t>
  </si>
  <si>
    <t>J9678309</t>
  </si>
  <si>
    <t>VENTAS (01472)</t>
  </si>
  <si>
    <t>J2987864</t>
  </si>
  <si>
    <t>JULIO</t>
  </si>
  <si>
    <t>CABEZA</t>
  </si>
  <si>
    <t>J9875606</t>
  </si>
  <si>
    <t>REBORDINOS</t>
  </si>
  <si>
    <t>CUBERO</t>
  </si>
  <si>
    <t>RESPONSABLE DE SERVICIO I+D (00544)</t>
  </si>
  <si>
    <t>M9791717</t>
  </si>
  <si>
    <t>MANUEL IGNACIO</t>
  </si>
  <si>
    <t>AVILA</t>
  </si>
  <si>
    <t>SUAREZ</t>
  </si>
  <si>
    <t>PRODUCCIÓN (00740)</t>
  </si>
  <si>
    <t>J0461197</t>
  </si>
  <si>
    <t>JOSEP</t>
  </si>
  <si>
    <t>SOLA</t>
  </si>
  <si>
    <t>ROS</t>
  </si>
  <si>
    <t>PRODUCCIÓN (02650)</t>
  </si>
  <si>
    <t>L9818763</t>
  </si>
  <si>
    <t>LYDIA</t>
  </si>
  <si>
    <t>ARRANZ</t>
  </si>
  <si>
    <t>RESPONSABLE DE COMUNICACIÓN (00466)</t>
  </si>
  <si>
    <t>A6570134</t>
  </si>
  <si>
    <t>BASCONES</t>
  </si>
  <si>
    <t>PARAMIO</t>
  </si>
  <si>
    <t>RESPONSABLE LOGÍSTICA (00585)</t>
  </si>
  <si>
    <t>P9005644</t>
  </si>
  <si>
    <t>PERFECTO</t>
  </si>
  <si>
    <t>MARTIS</t>
  </si>
  <si>
    <t>FLOREZ</t>
  </si>
  <si>
    <t>FINANZAS (00763)</t>
  </si>
  <si>
    <t>R2911989</t>
  </si>
  <si>
    <t>PRODUCCIÓN (00765)</t>
  </si>
  <si>
    <t>M2472195</t>
  </si>
  <si>
    <t>AMOR</t>
  </si>
  <si>
    <t>PRODUCCIÓN (00769)</t>
  </si>
  <si>
    <t>M3934646</t>
  </si>
  <si>
    <t>ABASCAL</t>
  </si>
  <si>
    <t>VENTAS (01069)</t>
  </si>
  <si>
    <t>P7043946</t>
  </si>
  <si>
    <t>BUSTO</t>
  </si>
  <si>
    <t>PRESIDENTE / PDG / DG (01187)</t>
  </si>
  <si>
    <t>M7347565</t>
  </si>
  <si>
    <t>MARIA JESUS</t>
  </si>
  <si>
    <t>VILLAR</t>
  </si>
  <si>
    <t>JEFE DE COMPRAS DE CENTRO (01274)</t>
  </si>
  <si>
    <t>B6674590</t>
  </si>
  <si>
    <t>BERTA</t>
  </si>
  <si>
    <t>ASO</t>
  </si>
  <si>
    <t>ORDAS</t>
  </si>
  <si>
    <t>RESPONSABLE DES PRODUCTOS (01322)</t>
  </si>
  <si>
    <t>V6777662</t>
  </si>
  <si>
    <t>VICENÇ</t>
  </si>
  <si>
    <t>CUÑADO</t>
  </si>
  <si>
    <t>JEFE DE COMPRAS DE CENTRO (02170)</t>
  </si>
  <si>
    <t>J8347664</t>
  </si>
  <si>
    <t>JULIAN ANTONIO</t>
  </si>
  <si>
    <t>SIN DEFINIR (04760)</t>
  </si>
  <si>
    <t>R3912304</t>
  </si>
  <si>
    <t>CORIHUELA</t>
  </si>
  <si>
    <t>SIN DEFINIR (02257)</t>
  </si>
  <si>
    <t>J6602973</t>
  </si>
  <si>
    <t>JUAN JOSE</t>
  </si>
  <si>
    <t>POVILL</t>
  </si>
  <si>
    <t>VENTAS (00596)</t>
  </si>
  <si>
    <t>I9855986</t>
  </si>
  <si>
    <t>J8979609</t>
  </si>
  <si>
    <t>HERRERA</t>
  </si>
  <si>
    <t>PRESIDENTE / PDG / DG (03164)</t>
  </si>
  <si>
    <t>D5130863</t>
  </si>
  <si>
    <t>CRUZ</t>
  </si>
  <si>
    <t>SIN DEFINIR (00366)</t>
  </si>
  <si>
    <t>V8105973</t>
  </si>
  <si>
    <t>CLAVAIN</t>
  </si>
  <si>
    <t>EGIDO</t>
  </si>
  <si>
    <t>JEFE VENTAS - OPERACIÓN DISTR (00073)</t>
  </si>
  <si>
    <t>M5731569</t>
  </si>
  <si>
    <t>ANDRES</t>
  </si>
  <si>
    <t>LOGÍSTICA (00240)</t>
  </si>
  <si>
    <t>C2853872</t>
  </si>
  <si>
    <t>P0689324</t>
  </si>
  <si>
    <t>PEDRO ANTONIO</t>
  </si>
  <si>
    <t>SORIA</t>
  </si>
  <si>
    <t>JEFE VENTAS - OPERACIÓN DISTR (00446)</t>
  </si>
  <si>
    <t>RECURSOS HUMANOS (00563)</t>
  </si>
  <si>
    <t>D8050746</t>
  </si>
  <si>
    <t>FDEZ-NESPRAL</t>
  </si>
  <si>
    <t>AMADO</t>
  </si>
  <si>
    <t>RESP INDUSTRIALIZACIÓN (00611)</t>
  </si>
  <si>
    <t>M3268381</t>
  </si>
  <si>
    <t>MARTA</t>
  </si>
  <si>
    <t>HERRERO</t>
  </si>
  <si>
    <t>RESPONS DE CONTROL DE GESTIÓN (00613)</t>
  </si>
  <si>
    <t>D5021103</t>
  </si>
  <si>
    <t>INVESTIGACIÓN Y DESARROLLO (00628)</t>
  </si>
  <si>
    <t>H1520321</t>
  </si>
  <si>
    <t>HECTOR ALEJANDRO</t>
  </si>
  <si>
    <t>DIRECTOR RECURSOS HUMANOS (00629)</t>
  </si>
  <si>
    <t>I0700653</t>
  </si>
  <si>
    <t>MESA</t>
  </si>
  <si>
    <t>RESPONSABLE SERV FABRICACIÓN (00645)</t>
  </si>
  <si>
    <t>N8650153</t>
  </si>
  <si>
    <t>NOEMI</t>
  </si>
  <si>
    <t>PRIETO</t>
  </si>
  <si>
    <t>PRODUCCIÓN (00836)</t>
  </si>
  <si>
    <t>A8584658</t>
  </si>
  <si>
    <t>GARABAYA</t>
  </si>
  <si>
    <t>SIN DEFINIR (03505)</t>
  </si>
  <si>
    <t>M7142704</t>
  </si>
  <si>
    <t>MACIAS</t>
  </si>
  <si>
    <t>DIRECTOR RECURSOS HUMANOS (00895)</t>
  </si>
  <si>
    <t>L1963689</t>
  </si>
  <si>
    <t>LUIS GABRIEL</t>
  </si>
  <si>
    <t>CAMPO</t>
  </si>
  <si>
    <t>PRADA</t>
  </si>
  <si>
    <t>GERENTE DE CRÉDITOS (01138)</t>
  </si>
  <si>
    <t>M3716891</t>
  </si>
  <si>
    <t>ARIÑO</t>
  </si>
  <si>
    <t>GALVE</t>
  </si>
  <si>
    <t>VENTAS (01295)</t>
  </si>
  <si>
    <t>J3613261</t>
  </si>
  <si>
    <t>JOSE JAVIER</t>
  </si>
  <si>
    <t>OREJA</t>
  </si>
  <si>
    <t>UCAR</t>
  </si>
  <si>
    <t>RESPONSABLE SOPORTE TÉCNICO (01330)</t>
  </si>
  <si>
    <t>J4641378</t>
  </si>
  <si>
    <t>JOSE SALVADOR</t>
  </si>
  <si>
    <t>LAFUENTE</t>
  </si>
  <si>
    <t>R0770260</t>
  </si>
  <si>
    <t>OLIVEROS</t>
  </si>
  <si>
    <t>BALTANAS</t>
  </si>
  <si>
    <t>VENTAS (01525)</t>
  </si>
  <si>
    <t>F8903961</t>
  </si>
  <si>
    <t>FELIPE</t>
  </si>
  <si>
    <t>MIRANDA</t>
  </si>
  <si>
    <t>VENTAS (01788)</t>
  </si>
  <si>
    <t>J4592936</t>
  </si>
  <si>
    <t>JOSEP MARIA</t>
  </si>
  <si>
    <t>CERCOS</t>
  </si>
  <si>
    <t>MUS</t>
  </si>
  <si>
    <t>VENTAS (01883)</t>
  </si>
  <si>
    <t>M4135874</t>
  </si>
  <si>
    <t>JEFE VENTAS - OPERACIÓN DISTR (02054)</t>
  </si>
  <si>
    <t>P5413135</t>
  </si>
  <si>
    <t>PABLO ALFREDO</t>
  </si>
  <si>
    <t>ROJO</t>
  </si>
  <si>
    <t>MARTINEZ DE TRESPUENTES</t>
  </si>
  <si>
    <t>RESPONSABLE DES PRODUCTOS (02529)</t>
  </si>
  <si>
    <t>A4034881</t>
  </si>
  <si>
    <t>JEFE VENTAS - OPERACIÓN DISTR (02554)</t>
  </si>
  <si>
    <t>F9553441</t>
  </si>
  <si>
    <t>CLAVIJO</t>
  </si>
  <si>
    <t>SEGURIDAD (02583)</t>
  </si>
  <si>
    <t>J0201597</t>
  </si>
  <si>
    <t>CODOLA</t>
  </si>
  <si>
    <t>PRODUCCIÓN (02658)</t>
  </si>
  <si>
    <t>B8643752</t>
  </si>
  <si>
    <t>SOTOCA</t>
  </si>
  <si>
    <t>JEFE VENTAS - OPERACIÓN DISTR (03275)</t>
  </si>
  <si>
    <t>A6120271</t>
  </si>
  <si>
    <t>PANDIELLA</t>
  </si>
  <si>
    <t>HEVIA</t>
  </si>
  <si>
    <t>C2850297</t>
  </si>
  <si>
    <t>CASTILLA</t>
  </si>
  <si>
    <t>O0854516</t>
  </si>
  <si>
    <t>VENTAS (03592)</t>
  </si>
  <si>
    <t>A1894700</t>
  </si>
  <si>
    <t>AFRICA</t>
  </si>
  <si>
    <t>ADAN</t>
  </si>
  <si>
    <t>JEFE VENTAS - OPERACIÓN DISTR (03619)</t>
  </si>
  <si>
    <t>E0523999</t>
  </si>
  <si>
    <t>SANZ</t>
  </si>
  <si>
    <t>SIN DEFINIR (03548)</t>
  </si>
  <si>
    <t>G4430877</t>
  </si>
  <si>
    <t>BEZOS</t>
  </si>
  <si>
    <t>RESPONSABLE MSH (03912)</t>
  </si>
  <si>
    <t>G5310681</t>
  </si>
  <si>
    <t>GUILLERMO</t>
  </si>
  <si>
    <t>TREVIÑO</t>
  </si>
  <si>
    <t>INGENIERO SEGUROS/CONTR CALIDA (03960)</t>
  </si>
  <si>
    <t>L0449417</t>
  </si>
  <si>
    <t>JEFE DE PROYECTO TECN/PROD (03964)</t>
  </si>
  <si>
    <t>C2308710</t>
  </si>
  <si>
    <t>CARLOTA</t>
  </si>
  <si>
    <t>PELAYO</t>
  </si>
  <si>
    <t>WCM MANAGER (04234)</t>
  </si>
  <si>
    <t>C9544714</t>
  </si>
  <si>
    <t>SALAS</t>
  </si>
  <si>
    <t>A7865818</t>
  </si>
  <si>
    <t>OPERACIONES DISTRIBUCIÓN (00981)</t>
  </si>
  <si>
    <t>J5631685</t>
  </si>
  <si>
    <t>NUÑEZ</t>
  </si>
  <si>
    <t>VENTAS (00595)</t>
  </si>
  <si>
    <t>A7651763</t>
  </si>
  <si>
    <t>ARMANDO</t>
  </si>
  <si>
    <t>INGENIERO DE INVESTIGACIÓN (00605)</t>
  </si>
  <si>
    <t>J7425713</t>
  </si>
  <si>
    <t>GABAS</t>
  </si>
  <si>
    <t>BONED</t>
  </si>
  <si>
    <t>DIRECTOR INDUSTRIAL (01264)</t>
  </si>
  <si>
    <t>DIRECTOR DE ACTIVIDAD (01362)</t>
  </si>
  <si>
    <t>I1250878</t>
  </si>
  <si>
    <t>BARANDA</t>
  </si>
  <si>
    <t>RESPONSABLE MANTENIMIENTO (01492)</t>
  </si>
  <si>
    <t>DIRECTOR DE DIVISIÓN (01653)</t>
  </si>
  <si>
    <t>I2356655</t>
  </si>
  <si>
    <t>IZASKUN</t>
  </si>
  <si>
    <t>AMAT</t>
  </si>
  <si>
    <t>VENTAS (01754)</t>
  </si>
  <si>
    <t>R1829956</t>
  </si>
  <si>
    <t>FELGUERA</t>
  </si>
  <si>
    <t>ALBACETE</t>
  </si>
  <si>
    <t>INGENIERO SEGUROS/CONTR CALIDA (01884)</t>
  </si>
  <si>
    <t>M7034741</t>
  </si>
  <si>
    <t>MARIN</t>
  </si>
  <si>
    <t>JEFE VENTAS - OPERACIÓN DISTR (01905)</t>
  </si>
  <si>
    <t>DIRECTOR COMERCIAL (01948)</t>
  </si>
  <si>
    <t>S0878716</t>
  </si>
  <si>
    <t>SANTIAGO</t>
  </si>
  <si>
    <t>AGULLO</t>
  </si>
  <si>
    <t>SEVILLA</t>
  </si>
  <si>
    <t>JEFE DE ÁREA (02066)</t>
  </si>
  <si>
    <t>O5993360</t>
  </si>
  <si>
    <t>FLORES</t>
  </si>
  <si>
    <t>MORARI</t>
  </si>
  <si>
    <t>MARKETING (02436)</t>
  </si>
  <si>
    <t>I6768256</t>
  </si>
  <si>
    <t>IÑAKI</t>
  </si>
  <si>
    <t>CASTRO</t>
  </si>
  <si>
    <t>FERRERAS</t>
  </si>
  <si>
    <t>PRODUCCIÓN (02582)</t>
  </si>
  <si>
    <t>E7056396</t>
  </si>
  <si>
    <t>MANTILLA</t>
  </si>
  <si>
    <t>JEFE VENTAS - OPERACIÓN DISTR (03333)</t>
  </si>
  <si>
    <t>J1623987</t>
  </si>
  <si>
    <t>BOJART</t>
  </si>
  <si>
    <t>RESPONSABLE HELP DESK (03538)</t>
  </si>
  <si>
    <t>M7436720</t>
  </si>
  <si>
    <t>MANZANERO</t>
  </si>
  <si>
    <t>JEFE DE PRODUCTO (03672)</t>
  </si>
  <si>
    <t>J0372487</t>
  </si>
  <si>
    <t>RUFIAN</t>
  </si>
  <si>
    <t>ARIZA</t>
  </si>
  <si>
    <t>JEFE VENTAS - OPERACIÓN DISTR (03700)</t>
  </si>
  <si>
    <t>M7998159</t>
  </si>
  <si>
    <t>VILLARES</t>
  </si>
  <si>
    <t>ORGAZ</t>
  </si>
  <si>
    <t>JEFE VENTAS - OPERACIÓN DISTR (03886)</t>
  </si>
  <si>
    <t>L4116890</t>
  </si>
  <si>
    <t>LAURA</t>
  </si>
  <si>
    <t>TORAL</t>
  </si>
  <si>
    <t>RESP CALIDAD GENERALISTA (04052)</t>
  </si>
  <si>
    <t>DIRECTOR DE ACTIVIDAD (04664)</t>
  </si>
  <si>
    <t>F9287076</t>
  </si>
  <si>
    <t>LEDESMA</t>
  </si>
  <si>
    <t>MARTIN-PINTADO</t>
  </si>
  <si>
    <t>DIRECTOR RECURSOS HUMANOS (00017)</t>
  </si>
  <si>
    <t>J4007232</t>
  </si>
  <si>
    <t>PITA DA VEIGA</t>
  </si>
  <si>
    <t>VENTAS (00107)</t>
  </si>
  <si>
    <t>J2668278</t>
  </si>
  <si>
    <t>JUANA GLORIA</t>
  </si>
  <si>
    <t>DOMINGO</t>
  </si>
  <si>
    <t>BLAZQUEZ</t>
  </si>
  <si>
    <t>VENTAS (00117)</t>
  </si>
  <si>
    <t>1C</t>
  </si>
  <si>
    <t>R9884155</t>
  </si>
  <si>
    <t>RESPONSABLE ADM Y FINANCIERO (00133)</t>
  </si>
  <si>
    <t>J4683276</t>
  </si>
  <si>
    <t>JUAN-JESUS</t>
  </si>
  <si>
    <t>ASENJO</t>
  </si>
  <si>
    <t>DIRECTOR DE FÁBRICA (00149)</t>
  </si>
  <si>
    <t>F2779804</t>
  </si>
  <si>
    <t>FCO JAVIER</t>
  </si>
  <si>
    <t>MAESO</t>
  </si>
  <si>
    <t>BOAL</t>
  </si>
  <si>
    <t>00308 (RESPONSABLE SERV FABRICACIÓN)</t>
  </si>
  <si>
    <t>P2114181</t>
  </si>
  <si>
    <t>MARIA DEL PILAR</t>
  </si>
  <si>
    <t>INGENIERO TECNO-MARKETING (00354)</t>
  </si>
  <si>
    <t>J4163958</t>
  </si>
  <si>
    <t>IBAÑEZ</t>
  </si>
  <si>
    <t>DIRECTOR COMERCIAL (00375)</t>
  </si>
  <si>
    <t>M2229541</t>
  </si>
  <si>
    <t>RESPONSABLE NUEVOS TRABAJOS (00378)</t>
  </si>
  <si>
    <t>M4649236</t>
  </si>
  <si>
    <t>HIGUERAS</t>
  </si>
  <si>
    <t>PERALES</t>
  </si>
  <si>
    <t>RESPONSABLE SERV FABRICACIÓN (00393)</t>
  </si>
  <si>
    <t>J0713564</t>
  </si>
  <si>
    <t>PASTOR</t>
  </si>
  <si>
    <t>DIRECTOR SIST DE INFORMACIÓN (00425)</t>
  </si>
  <si>
    <t>J0020115</t>
  </si>
  <si>
    <t>RASPALL</t>
  </si>
  <si>
    <t>MUNTAÑOLA</t>
  </si>
  <si>
    <t>DIRECTOR DE MARKETING (00431)</t>
  </si>
  <si>
    <t>F3378742</t>
  </si>
  <si>
    <t>SAN ROMAN</t>
  </si>
  <si>
    <t>PACHECO</t>
  </si>
  <si>
    <t>RESPONSABLE SERV FABRICACIÓN (00438)</t>
  </si>
  <si>
    <t>E9591653</t>
  </si>
  <si>
    <t>EMILIO</t>
  </si>
  <si>
    <t>IGLESIAS</t>
  </si>
  <si>
    <t>DEL CASTILLO</t>
  </si>
  <si>
    <t>RESPONSABLE DE DEPÓSITO (00456)</t>
  </si>
  <si>
    <t>F2472571</t>
  </si>
  <si>
    <t>CORDOBA</t>
  </si>
  <si>
    <t>DTOR.ALMACÉN - OPERACIÓN DISTR (00470)</t>
  </si>
  <si>
    <t>M3695687</t>
  </si>
  <si>
    <t>MARIANO</t>
  </si>
  <si>
    <t>ORDOÑEZ</t>
  </si>
  <si>
    <t>LOGÍSTICA (00475)</t>
  </si>
  <si>
    <t>R8505997</t>
  </si>
  <si>
    <t>SALGADO</t>
  </si>
  <si>
    <t>RESPONSABLE LOGÍSTICA (00477)</t>
  </si>
  <si>
    <t>G7212246</t>
  </si>
  <si>
    <t>CALVENTE</t>
  </si>
  <si>
    <t>PRODUCCIÓN (00485)</t>
  </si>
  <si>
    <t>J8090824</t>
  </si>
  <si>
    <t>PRODUCCIÓN (00495)</t>
  </si>
  <si>
    <t>N5301720</t>
  </si>
  <si>
    <t>NATALIA</t>
  </si>
  <si>
    <t>BARRACHINA</t>
  </si>
  <si>
    <t>BARRANCO</t>
  </si>
  <si>
    <t>JEFE VENTAS - OPERACIÓN DISTR (00519)</t>
  </si>
  <si>
    <t>J9591700</t>
  </si>
  <si>
    <t>JOSE-ANTONIO</t>
  </si>
  <si>
    <t>DIRECTOR REGIONAL DE VENTAS (00575)</t>
  </si>
  <si>
    <t>M5144942</t>
  </si>
  <si>
    <t>FLECHA</t>
  </si>
  <si>
    <t>PRODUCCIÓN (00590)</t>
  </si>
  <si>
    <t>A7121164</t>
  </si>
  <si>
    <t>SIN DEFINIR (01239)</t>
  </si>
  <si>
    <t>J4738274</t>
  </si>
  <si>
    <t>JOSE RODRIGO</t>
  </si>
  <si>
    <t>FONSECA</t>
  </si>
  <si>
    <t>VENTAS (00745)</t>
  </si>
  <si>
    <t>J3274971</t>
  </si>
  <si>
    <t>ARIAS</t>
  </si>
  <si>
    <t>S6672960</t>
  </si>
  <si>
    <t>SONIA</t>
  </si>
  <si>
    <t>DE FRANCISCO</t>
  </si>
  <si>
    <t>VENTAS (00925)</t>
  </si>
  <si>
    <t>A9660689</t>
  </si>
  <si>
    <t>GEA</t>
  </si>
  <si>
    <t>DE CASTRO</t>
  </si>
  <si>
    <t>SIN DEFINIR (00527)</t>
  </si>
  <si>
    <t>J3569452</t>
  </si>
  <si>
    <t>JOSE ENRIQUE</t>
  </si>
  <si>
    <t>JAUREGUI</t>
  </si>
  <si>
    <t>PRODUCCIÓN (01147)</t>
  </si>
  <si>
    <t>E5146221</t>
  </si>
  <si>
    <t>JESUS ENRIQUE</t>
  </si>
  <si>
    <t>SESMA</t>
  </si>
  <si>
    <t>BURGALETA</t>
  </si>
  <si>
    <t>VENTAS (01167)</t>
  </si>
  <si>
    <t>I7557238</t>
  </si>
  <si>
    <t>DTOR.ALMACÉN - OPERACIÓN DISTR (01179)</t>
  </si>
  <si>
    <t>A3134550</t>
  </si>
  <si>
    <t>ANGEL IGNACIO</t>
  </si>
  <si>
    <t>ARMENDARIZ</t>
  </si>
  <si>
    <t>VIGUERA</t>
  </si>
  <si>
    <t>A5549694</t>
  </si>
  <si>
    <t>ALEXANDRA</t>
  </si>
  <si>
    <t>M1313540</t>
  </si>
  <si>
    <t>VALLESPIN</t>
  </si>
  <si>
    <t>SIN DEFINIR (00944)</t>
  </si>
  <si>
    <t>F4694934</t>
  </si>
  <si>
    <t>PERICAS</t>
  </si>
  <si>
    <t>GALINDO</t>
  </si>
  <si>
    <t>DIRECTOR DE ESTABLECIMIENTO (01296)</t>
  </si>
  <si>
    <t>J6658326</t>
  </si>
  <si>
    <t>MARCO</t>
  </si>
  <si>
    <t>A5749070</t>
  </si>
  <si>
    <t>AINHOA</t>
  </si>
  <si>
    <t>MACIA</t>
  </si>
  <si>
    <t>SUESCUN</t>
  </si>
  <si>
    <t>DIRECTOR DE COMUNICACIONES (01563)</t>
  </si>
  <si>
    <t>J6718000</t>
  </si>
  <si>
    <t>ACIRON</t>
  </si>
  <si>
    <t>ARRABAL</t>
  </si>
  <si>
    <t>DIRECTOR COMERCIAL / MKG (01568)</t>
  </si>
  <si>
    <t>J4449014</t>
  </si>
  <si>
    <t>MINGUET</t>
  </si>
  <si>
    <t>JEFE VENTAS - OPERACIÓN DISTR (01582)</t>
  </si>
  <si>
    <t>RESPONS RECURSOS HUMANOS (01595)</t>
  </si>
  <si>
    <t>A6396628</t>
  </si>
  <si>
    <t>MADERA</t>
  </si>
  <si>
    <t>MARKETING (01622)</t>
  </si>
  <si>
    <t>J8949158</t>
  </si>
  <si>
    <t>VARELA</t>
  </si>
  <si>
    <t>JEFE DE AGENCIA (01802)</t>
  </si>
  <si>
    <t>A4061325</t>
  </si>
  <si>
    <t>AMADOR</t>
  </si>
  <si>
    <t>SABIO</t>
  </si>
  <si>
    <t>ORJALES</t>
  </si>
  <si>
    <t>RESPONSABLE DE ESTUDIOS MKG (01805)</t>
  </si>
  <si>
    <t>M6277908</t>
  </si>
  <si>
    <t>MANUEL JESUS</t>
  </si>
  <si>
    <t>COMPRAS DISTRIBUCIÓN (01814)</t>
  </si>
  <si>
    <t>R4600568</t>
  </si>
  <si>
    <t>ROBERTO FRANCISCO</t>
  </si>
  <si>
    <t>VALBUENA</t>
  </si>
  <si>
    <t>PRODUCCIÓN (01815)</t>
  </si>
  <si>
    <t>A9983782</t>
  </si>
  <si>
    <t>BONET</t>
  </si>
  <si>
    <t>E7541487</t>
  </si>
  <si>
    <t>VILLENA</t>
  </si>
  <si>
    <t>ACEDOS</t>
  </si>
  <si>
    <t>DIRECTOR FINANCIERO (01868)</t>
  </si>
  <si>
    <t>J7377775</t>
  </si>
  <si>
    <t>MARKETING (01929)</t>
  </si>
  <si>
    <t>J4911340</t>
  </si>
  <si>
    <t>LORENTE</t>
  </si>
  <si>
    <t>CANALS</t>
  </si>
  <si>
    <t>DIRECTOR DE VENTAS (01939)</t>
  </si>
  <si>
    <t>P0779913</t>
  </si>
  <si>
    <t>LLOVES</t>
  </si>
  <si>
    <t>GUNTIN</t>
  </si>
  <si>
    <t>INGENIERO DE ESTUDIOS IND (01982)</t>
  </si>
  <si>
    <t>M5993755</t>
  </si>
  <si>
    <t>MARIA EVA</t>
  </si>
  <si>
    <t>OLVERA</t>
  </si>
  <si>
    <t>OLIVAN</t>
  </si>
  <si>
    <t>M1968809</t>
  </si>
  <si>
    <t>FARRE</t>
  </si>
  <si>
    <t>JEFE VENTAS - OPERACIÓN DISTR (02027)</t>
  </si>
  <si>
    <t>M3281423</t>
  </si>
  <si>
    <t>M ANGELS</t>
  </si>
  <si>
    <t>GUMFAUS</t>
  </si>
  <si>
    <t>DIRECTOR FINANCIERO (02055)</t>
  </si>
  <si>
    <t>J3315005</t>
  </si>
  <si>
    <t>MARRO</t>
  </si>
  <si>
    <t>LLOBET</t>
  </si>
  <si>
    <t>DIRECTOR DE VENTAS (02079)</t>
  </si>
  <si>
    <t>J1420010</t>
  </si>
  <si>
    <t>PLANA</t>
  </si>
  <si>
    <t>PUIGDEVALL</t>
  </si>
  <si>
    <t>SIN DEFINIR (02035)</t>
  </si>
  <si>
    <t>E6876424</t>
  </si>
  <si>
    <t>ESTEVE</t>
  </si>
  <si>
    <t>ESPASA</t>
  </si>
  <si>
    <t>BORRAS</t>
  </si>
  <si>
    <t>RESPONSABLE ADM Y FINANCIERO (02387)</t>
  </si>
  <si>
    <t>D5657514</t>
  </si>
  <si>
    <t>DE HARO</t>
  </si>
  <si>
    <t>C6596260</t>
  </si>
  <si>
    <t>CUYAS</t>
  </si>
  <si>
    <t>ORTUÑO</t>
  </si>
  <si>
    <t>JEFE VENTAS - OPERACIÓN DISTR (02438)</t>
  </si>
  <si>
    <t>J5881704</t>
  </si>
  <si>
    <t>JAUME</t>
  </si>
  <si>
    <t>MARQUINA</t>
  </si>
  <si>
    <t>JEFE VENTAS - OPERACIÓN DISTR (02441)</t>
  </si>
  <si>
    <t>J2410497</t>
  </si>
  <si>
    <t>VELARDO</t>
  </si>
  <si>
    <t>JEFE VENTAS - OPERACIÓN DISTR (02481)</t>
  </si>
  <si>
    <t>J8778071</t>
  </si>
  <si>
    <t>ROYO</t>
  </si>
  <si>
    <t>SARASUA</t>
  </si>
  <si>
    <t>C5390904</t>
  </si>
  <si>
    <t>MURILLO</t>
  </si>
  <si>
    <t>JEFE DE PROYECTO DE LOGÍSTICA (02549)</t>
  </si>
  <si>
    <t>E3156157</t>
  </si>
  <si>
    <t>EDUARDO WALTER</t>
  </si>
  <si>
    <t>GASPARI</t>
  </si>
  <si>
    <t>JEFE VENTAS - OPERACIÓN DISTR (02562)</t>
  </si>
  <si>
    <t>D7436550</t>
  </si>
  <si>
    <t>DOMINGO JAVIER</t>
  </si>
  <si>
    <t>CARABALLO</t>
  </si>
  <si>
    <t>JEFE VENTAS - OPERACIÓN DISTR (02572)</t>
  </si>
  <si>
    <t>J3474368</t>
  </si>
  <si>
    <t>CALIZ</t>
  </si>
  <si>
    <t>MUELA</t>
  </si>
  <si>
    <t>JEFE VENTAS - OPERACIÓN DISTR (02585)</t>
  </si>
  <si>
    <t>R9438956</t>
  </si>
  <si>
    <t>RICARD</t>
  </si>
  <si>
    <t>PERTEGAS</t>
  </si>
  <si>
    <t>FALOMIR</t>
  </si>
  <si>
    <t>JEFE VENTAS - OPERACIÓN DISTR (02618)</t>
  </si>
  <si>
    <t>S9233831</t>
  </si>
  <si>
    <t>PUJANTE</t>
  </si>
  <si>
    <t>JEFE VENTAS - OPERACIÓN DISTR (02636)</t>
  </si>
  <si>
    <t>M0766968</t>
  </si>
  <si>
    <t>ORO</t>
  </si>
  <si>
    <t>JEFE VENTAS - OPERACIÓN DISTR (02677)</t>
  </si>
  <si>
    <t>R3671448</t>
  </si>
  <si>
    <t>DIRECTOR DE VENTAS (02680)</t>
  </si>
  <si>
    <t>O5468989</t>
  </si>
  <si>
    <t>GALERA</t>
  </si>
  <si>
    <t>JUAREZ</t>
  </si>
  <si>
    <t>DTOR.ALMACÉN - OPERACIÓN DISTR (02689)</t>
  </si>
  <si>
    <t>E7847793</t>
  </si>
  <si>
    <t>FRANCO</t>
  </si>
  <si>
    <t>LIGERO</t>
  </si>
  <si>
    <t>DTOR.ALMACÉN - OPERACIÓN DISTR (02690)</t>
  </si>
  <si>
    <t>J9873742</t>
  </si>
  <si>
    <t>CONTRERAS</t>
  </si>
  <si>
    <t>JEFE VENTAS - OPERACIÓN DISTR (02696)</t>
  </si>
  <si>
    <t>C4309475</t>
  </si>
  <si>
    <t>CELIA</t>
  </si>
  <si>
    <t>JEFE VENTAS - OPERACIÓN DISTR (02699)</t>
  </si>
  <si>
    <t>M1316939</t>
  </si>
  <si>
    <t>PABLOS</t>
  </si>
  <si>
    <t>JEFE VENTAS - OPERACIÓN DISTR (02708)</t>
  </si>
  <si>
    <t>M5703896</t>
  </si>
  <si>
    <t>MAURICIO</t>
  </si>
  <si>
    <t>CALZADA</t>
  </si>
  <si>
    <t>JEFE VENTAS - OPERACIÓN DISTR (02709)</t>
  </si>
  <si>
    <t>J9722260</t>
  </si>
  <si>
    <t>JORGE IVAN</t>
  </si>
  <si>
    <t>LOGÍSTICA (02733)</t>
  </si>
  <si>
    <t>A5743478</t>
  </si>
  <si>
    <t>LORENZO</t>
  </si>
  <si>
    <t>DTOR.ALMACÉN - OPERACIÓN DISTR (02738)</t>
  </si>
  <si>
    <t>C6453348</t>
  </si>
  <si>
    <t>RUANO</t>
  </si>
  <si>
    <t>JEFE VENTAS - OPERACIÓN DISTR (02754)</t>
  </si>
  <si>
    <t>RESPONS RECURSOS HUMANOS (02795)</t>
  </si>
  <si>
    <t>R7560165</t>
  </si>
  <si>
    <t>RICARDO ANDRES</t>
  </si>
  <si>
    <t>ROLDAN</t>
  </si>
  <si>
    <t>JEFE VENTAS - OPERACIÓN DISTR (02797)</t>
  </si>
  <si>
    <t>RESPONS RECURSOS HUMANOS (02815)</t>
  </si>
  <si>
    <t>J7090073</t>
  </si>
  <si>
    <t>ENCARGADO DE MISIÓN MKG (02816)</t>
  </si>
  <si>
    <t>I5813736</t>
  </si>
  <si>
    <t>ISABEL</t>
  </si>
  <si>
    <t>JEFE VENTAS - OPERACIÓN DISTR (02843)</t>
  </si>
  <si>
    <t>RESPONS RECURSOS HUMANOS (02853)</t>
  </si>
  <si>
    <t>J2573493</t>
  </si>
  <si>
    <t>JESUS RAMON</t>
  </si>
  <si>
    <t>BOTI</t>
  </si>
  <si>
    <t>JEFE VENTAS - OPERACIÓN DISTR (02895)</t>
  </si>
  <si>
    <t>L8054605</t>
  </si>
  <si>
    <t>LAILA</t>
  </si>
  <si>
    <t>ACHELH</t>
  </si>
  <si>
    <t>HARRAK</t>
  </si>
  <si>
    <t>JEFE VENTAS - OPERACIÓN DISTR (02924)</t>
  </si>
  <si>
    <t>S5121799</t>
  </si>
  <si>
    <t>A1203204</t>
  </si>
  <si>
    <t>AICHA</t>
  </si>
  <si>
    <t>CHARLOT</t>
  </si>
  <si>
    <t>FARES</t>
  </si>
  <si>
    <t>JEFE VENTAS - OPERACIÓN DISTR (03017)</t>
  </si>
  <si>
    <t>C0511812</t>
  </si>
  <si>
    <t>CARLOS FRANCISCO</t>
  </si>
  <si>
    <t>CASAÑ</t>
  </si>
  <si>
    <t>PEIGNEUX DEGMONT</t>
  </si>
  <si>
    <t>PRODUCCIÓN (03033)</t>
  </si>
  <si>
    <t>J0752729</t>
  </si>
  <si>
    <t>NIÑO</t>
  </si>
  <si>
    <t>AGUSTINO</t>
  </si>
  <si>
    <t>JEFE VENTAS - OPERACIÓN DISTR (03088)</t>
  </si>
  <si>
    <t>M2297592</t>
  </si>
  <si>
    <t>MARLENE</t>
  </si>
  <si>
    <t>MORCIEGO</t>
  </si>
  <si>
    <t>JEFE VENTAS - OPERACIÓN DISTR (03097)</t>
  </si>
  <si>
    <t>E5042119</t>
  </si>
  <si>
    <t>EMILIO JOSE</t>
  </si>
  <si>
    <t>DE LAS SIAS</t>
  </si>
  <si>
    <t>DE LA PIEDAD</t>
  </si>
  <si>
    <t>VENTAS (03126)</t>
  </si>
  <si>
    <t>R4988916</t>
  </si>
  <si>
    <t>ROSSY ALEXANDRA</t>
  </si>
  <si>
    <t>CUENCA</t>
  </si>
  <si>
    <t>JARAMILLO</t>
  </si>
  <si>
    <t>DTOR.ALMACÉN - OPERACIÓN DISTR (03168)</t>
  </si>
  <si>
    <t>R0238580</t>
  </si>
  <si>
    <t>HERNANZ</t>
  </si>
  <si>
    <t>GOMEZ REY</t>
  </si>
  <si>
    <t>SIN DEFINIR (03085)</t>
  </si>
  <si>
    <t>DIRECTOR DE ACTIVIDAD (03219)</t>
  </si>
  <si>
    <t>F8311529</t>
  </si>
  <si>
    <t>VALLEJO</t>
  </si>
  <si>
    <t>AGUIRRE</t>
  </si>
  <si>
    <t>DTOR.ALMACÉN - OPERACIÓN DISTR (03220)</t>
  </si>
  <si>
    <t>WCM MANAGER (03238)</t>
  </si>
  <si>
    <t>E5503315</t>
  </si>
  <si>
    <t>EDUARDO M.</t>
  </si>
  <si>
    <t>DE RAMOS</t>
  </si>
  <si>
    <t>VILARIÑO</t>
  </si>
  <si>
    <t>DIRECTOR TÉCNICO (03273)</t>
  </si>
  <si>
    <t>P7288996</t>
  </si>
  <si>
    <t>PEDRO ESTEBAN</t>
  </si>
  <si>
    <t>RUFO</t>
  </si>
  <si>
    <t>FINANZAS (03313)</t>
  </si>
  <si>
    <t>J2992501</t>
  </si>
  <si>
    <t>ARENAS</t>
  </si>
  <si>
    <t>JEFE VENTAS - OPERACIÓN DISTR (03314)</t>
  </si>
  <si>
    <t>E9548683</t>
  </si>
  <si>
    <t>ENRIQUE</t>
  </si>
  <si>
    <t>CORENTO</t>
  </si>
  <si>
    <t>DIRECTOR DE VENTAS (03360)</t>
  </si>
  <si>
    <t>R9576391</t>
  </si>
  <si>
    <t>SAHELICES</t>
  </si>
  <si>
    <t>J3477866</t>
  </si>
  <si>
    <t>BELLIDO</t>
  </si>
  <si>
    <t>VENTAS (03402)</t>
  </si>
  <si>
    <t>J1639234</t>
  </si>
  <si>
    <t>CASARES</t>
  </si>
  <si>
    <t>SIN DEFINIR (03297)</t>
  </si>
  <si>
    <t>A8073996</t>
  </si>
  <si>
    <t>BUENAVIDA</t>
  </si>
  <si>
    <t>JEFE VENTAS - OPERACIÓN DISTR (03444)</t>
  </si>
  <si>
    <t>L1163863</t>
  </si>
  <si>
    <t>LUIS ANGEL</t>
  </si>
  <si>
    <t>ORDOYO</t>
  </si>
  <si>
    <t>RESPONSABLE SERV FABRICACIÓN (03459)</t>
  </si>
  <si>
    <t>P7437885</t>
  </si>
  <si>
    <t>ARRAEZ</t>
  </si>
  <si>
    <t>CEMBELLIN</t>
  </si>
  <si>
    <t>JEFE DE PRODUCTO (03469)</t>
  </si>
  <si>
    <t>M4110803</t>
  </si>
  <si>
    <t>DIRECTOR DE FÁBRICA (03477)</t>
  </si>
  <si>
    <t>J7791516</t>
  </si>
  <si>
    <t>JEFE VENTAS - OPERACIÓN DISTR (03488)</t>
  </si>
  <si>
    <t>F8076056</t>
  </si>
  <si>
    <t>ZAMARREÑO</t>
  </si>
  <si>
    <t>A0766752</t>
  </si>
  <si>
    <t>ANDRES JUAN</t>
  </si>
  <si>
    <t>DE CAYEUX DE SENARPONT</t>
  </si>
  <si>
    <t>DIRECTOR ADM Y FINANCIERO (03589)</t>
  </si>
  <si>
    <t>C7994788</t>
  </si>
  <si>
    <t>CARLOS FERNANDO</t>
  </si>
  <si>
    <t>APARICIO</t>
  </si>
  <si>
    <t>RESPONSABLE DE SECTOR (03590)</t>
  </si>
  <si>
    <t>D9526202</t>
  </si>
  <si>
    <t>JEFE VENTAS - OPERACIÓN DISTR (03608)</t>
  </si>
  <si>
    <t>J3626374</t>
  </si>
  <si>
    <t>JUSTO</t>
  </si>
  <si>
    <t>DTOR.ALMACÉN - OPERACIÓN DISTR (03614)</t>
  </si>
  <si>
    <t>R1061995</t>
  </si>
  <si>
    <t>DIGON</t>
  </si>
  <si>
    <t>SIN DEFINIR (03567)</t>
  </si>
  <si>
    <t>M0110876</t>
  </si>
  <si>
    <t>BARQUERO</t>
  </si>
  <si>
    <t>JEFE VENTAS - OPERACIÓN DISTR (03639)</t>
  </si>
  <si>
    <t>J4037244</t>
  </si>
  <si>
    <t>NAVARRETE</t>
  </si>
  <si>
    <t>ALMAZAN</t>
  </si>
  <si>
    <t>SIN DEFINIR (03620)</t>
  </si>
  <si>
    <t>M6842783</t>
  </si>
  <si>
    <t>MARIA CASTAÑAR</t>
  </si>
  <si>
    <t>EJIDO</t>
  </si>
  <si>
    <t>JEFE VENTAS - OPERACIÓN DISTR (03648)</t>
  </si>
  <si>
    <t>S3045105</t>
  </si>
  <si>
    <t>GALVAN</t>
  </si>
  <si>
    <t>MASCARELL</t>
  </si>
  <si>
    <t>L4595236</t>
  </si>
  <si>
    <t>CACHEIRO</t>
  </si>
  <si>
    <t>OLLEROS</t>
  </si>
  <si>
    <t>INGENIERO DE FABRICACIÓN (03674)</t>
  </si>
  <si>
    <t>J1504748</t>
  </si>
  <si>
    <t>GUZMAN</t>
  </si>
  <si>
    <t>ESPADAS</t>
  </si>
  <si>
    <t>JEFE VENTAS - OPERACIÓN DISTR (03691)</t>
  </si>
  <si>
    <t>I0773196</t>
  </si>
  <si>
    <t>IVAN JOSE</t>
  </si>
  <si>
    <t>INGENIERO MANTENIMIENTO (03715)</t>
  </si>
  <si>
    <t>R5282281</t>
  </si>
  <si>
    <t>JEFE VENTAS - OPERACIÓN DISTR (03775)</t>
  </si>
  <si>
    <t>A0835861</t>
  </si>
  <si>
    <t>RESPONSABLE SERV FABRICACIÓN (03797)</t>
  </si>
  <si>
    <t>R9288525</t>
  </si>
  <si>
    <t>EXPERTO TÉC NUEVOS TRABAJOS (03817)</t>
  </si>
  <si>
    <t>M1541024</t>
  </si>
  <si>
    <t>RESPONSABLE SERV FABRICACIÓN (03947)</t>
  </si>
  <si>
    <t>RESPONS RECURSOS HUMANOS (03948)</t>
  </si>
  <si>
    <t>C0894436</t>
  </si>
  <si>
    <t>TABUENCA</t>
  </si>
  <si>
    <t>M0624836</t>
  </si>
  <si>
    <t>KHELIFI</t>
  </si>
  <si>
    <t>BOUMEZQUED</t>
  </si>
  <si>
    <t>JEFE VENTAS - OPERACIÓN DISTR (04420)</t>
  </si>
  <si>
    <t>G5989219</t>
  </si>
  <si>
    <t>GONZALO JOSE</t>
  </si>
  <si>
    <t>COELLO</t>
  </si>
  <si>
    <t>RESPONSABLE DE SECTOR (04439)</t>
  </si>
  <si>
    <t>M7760646</t>
  </si>
  <si>
    <t>DIRECTOR SIST DE INFORMACIÓN (04451)</t>
  </si>
  <si>
    <t>E2287010</t>
  </si>
  <si>
    <t>BERMUDEZ</t>
  </si>
  <si>
    <t>DIRECTOR INDUSTRIAL (04528)</t>
  </si>
  <si>
    <t>J3205515</t>
  </si>
  <si>
    <t>LOGÍSTICA (04550)</t>
  </si>
  <si>
    <t>G2684629</t>
  </si>
  <si>
    <t>GERARDO</t>
  </si>
  <si>
    <t>DIRECTOR DE FÁBRICA (04582)</t>
  </si>
  <si>
    <t>C8384405</t>
  </si>
  <si>
    <t>CARLES</t>
  </si>
  <si>
    <t>ROCA</t>
  </si>
  <si>
    <t>CLERMONT</t>
  </si>
  <si>
    <t>SISTEMAS DE INFORMACIÓN (04610)</t>
  </si>
  <si>
    <t>J8422329</t>
  </si>
  <si>
    <t>PIGEM</t>
  </si>
  <si>
    <t>PARALS</t>
  </si>
  <si>
    <t>DIRECTOR DE VENTAS (04612)</t>
  </si>
  <si>
    <t>J2535177</t>
  </si>
  <si>
    <t>JUAN LUIS</t>
  </si>
  <si>
    <t>MARKETING (04638)</t>
  </si>
  <si>
    <t>N0570569</t>
  </si>
  <si>
    <t>NAILA CORINA</t>
  </si>
  <si>
    <t>RIOS</t>
  </si>
  <si>
    <t>YANAYACO</t>
  </si>
  <si>
    <t>JEFE VENTAS - OPERACIÓN DISTR (04680)</t>
  </si>
  <si>
    <t>Y3576860</t>
  </si>
  <si>
    <t>YVES-LAURENT</t>
  </si>
  <si>
    <t>BECUWE</t>
  </si>
  <si>
    <t>J5892960</t>
  </si>
  <si>
    <t>JAROSLAVA</t>
  </si>
  <si>
    <t>SLAMOVA</t>
  </si>
  <si>
    <t>N5182906</t>
  </si>
  <si>
    <t>NORELYS ALEJANDRA</t>
  </si>
  <si>
    <t>OCANDO</t>
  </si>
  <si>
    <t>BARBOZA</t>
  </si>
  <si>
    <t>JEFE VENTAS - OPERACIÓN DISTR (04773)</t>
  </si>
  <si>
    <t>PRESIDENTE / PDG / DG (04785)</t>
  </si>
  <si>
    <t>00045</t>
  </si>
  <si>
    <t>03546</t>
  </si>
  <si>
    <t>58</t>
  </si>
  <si>
    <t>00066</t>
  </si>
  <si>
    <t>03662</t>
  </si>
  <si>
    <t>62</t>
  </si>
  <si>
    <t>00074</t>
  </si>
  <si>
    <t>02333</t>
  </si>
  <si>
    <t>00077</t>
  </si>
  <si>
    <t>004072</t>
  </si>
  <si>
    <t>83</t>
  </si>
  <si>
    <t>00088</t>
  </si>
  <si>
    <t>004319</t>
  </si>
  <si>
    <t>00106</t>
  </si>
  <si>
    <t>141727</t>
  </si>
  <si>
    <t>00145</t>
  </si>
  <si>
    <t>001601</t>
  </si>
  <si>
    <t>00159</t>
  </si>
  <si>
    <t>002363</t>
  </si>
  <si>
    <t>00174</t>
  </si>
  <si>
    <t>001587</t>
  </si>
  <si>
    <t>00180</t>
  </si>
  <si>
    <t>003174</t>
  </si>
  <si>
    <t>00236</t>
  </si>
  <si>
    <t>003199</t>
  </si>
  <si>
    <t>00242</t>
  </si>
  <si>
    <t>001685</t>
  </si>
  <si>
    <t>00248</t>
  </si>
  <si>
    <t>003404</t>
  </si>
  <si>
    <t>003336</t>
  </si>
  <si>
    <t>003326</t>
  </si>
  <si>
    <t>00353</t>
  </si>
  <si>
    <t>139398</t>
  </si>
  <si>
    <t>00362</t>
  </si>
  <si>
    <t>141171</t>
  </si>
  <si>
    <t>71</t>
  </si>
  <si>
    <t>00391</t>
  </si>
  <si>
    <t>144790</t>
  </si>
  <si>
    <t>005010</t>
  </si>
  <si>
    <t>001831</t>
  </si>
  <si>
    <t>00509</t>
  </si>
  <si>
    <t>000001</t>
  </si>
  <si>
    <t>00547</t>
  </si>
  <si>
    <t>000599</t>
  </si>
  <si>
    <t>05</t>
  </si>
  <si>
    <t>00550</t>
  </si>
  <si>
    <t>00935</t>
  </si>
  <si>
    <t>22</t>
  </si>
  <si>
    <t>00580</t>
  </si>
  <si>
    <t>001216</t>
  </si>
  <si>
    <t>00596</t>
  </si>
  <si>
    <t>01317</t>
  </si>
  <si>
    <t>00599</t>
  </si>
  <si>
    <t>003225</t>
  </si>
  <si>
    <t>00618</t>
  </si>
  <si>
    <t>00868</t>
  </si>
  <si>
    <t>00753</t>
  </si>
  <si>
    <t>00773</t>
  </si>
  <si>
    <t>001824</t>
  </si>
  <si>
    <t>00815</t>
  </si>
  <si>
    <t>000591</t>
  </si>
  <si>
    <t>00856</t>
  </si>
  <si>
    <t>002350</t>
  </si>
  <si>
    <t>001683</t>
  </si>
  <si>
    <t>00920</t>
  </si>
  <si>
    <t>03347</t>
  </si>
  <si>
    <t>00931</t>
  </si>
  <si>
    <t>002870</t>
  </si>
  <si>
    <t>00932</t>
  </si>
  <si>
    <t>00602</t>
  </si>
  <si>
    <t>002869</t>
  </si>
  <si>
    <t>00950</t>
  </si>
  <si>
    <t>002636</t>
  </si>
  <si>
    <t>00953</t>
  </si>
  <si>
    <t>00981</t>
  </si>
  <si>
    <t>00986</t>
  </si>
  <si>
    <t>002960</t>
  </si>
  <si>
    <t>01033</t>
  </si>
  <si>
    <t>002085</t>
  </si>
  <si>
    <t>01039</t>
  </si>
  <si>
    <t>002087</t>
  </si>
  <si>
    <t>01040</t>
  </si>
  <si>
    <t>04142</t>
  </si>
  <si>
    <t>01055</t>
  </si>
  <si>
    <t>04165</t>
  </si>
  <si>
    <t>01060</t>
  </si>
  <si>
    <t>141185</t>
  </si>
  <si>
    <t>01068</t>
  </si>
  <si>
    <t>002097</t>
  </si>
  <si>
    <t>01081</t>
  </si>
  <si>
    <t>002100</t>
  </si>
  <si>
    <t>01084</t>
  </si>
  <si>
    <t>144090</t>
  </si>
  <si>
    <t>01090</t>
  </si>
  <si>
    <t>002141</t>
  </si>
  <si>
    <t>01101</t>
  </si>
  <si>
    <t>000947</t>
  </si>
  <si>
    <t>01124</t>
  </si>
  <si>
    <t>002103</t>
  </si>
  <si>
    <t>01127</t>
  </si>
  <si>
    <t>002161</t>
  </si>
  <si>
    <t>01153</t>
  </si>
  <si>
    <t>01180</t>
  </si>
  <si>
    <t>002283</t>
  </si>
  <si>
    <t>01193</t>
  </si>
  <si>
    <t>139402</t>
  </si>
  <si>
    <t>01229</t>
  </si>
  <si>
    <t>139331</t>
  </si>
  <si>
    <t>01235</t>
  </si>
  <si>
    <t>137522</t>
  </si>
  <si>
    <t>01240</t>
  </si>
  <si>
    <t>01244</t>
  </si>
  <si>
    <t>139250</t>
  </si>
  <si>
    <t>01275</t>
  </si>
  <si>
    <t>003175</t>
  </si>
  <si>
    <t>01299</t>
  </si>
  <si>
    <t>004290</t>
  </si>
  <si>
    <t>01310</t>
  </si>
  <si>
    <t>001416</t>
  </si>
  <si>
    <t>01363</t>
  </si>
  <si>
    <t>01438</t>
  </si>
  <si>
    <t>01374</t>
  </si>
  <si>
    <t>01385</t>
  </si>
  <si>
    <t>002105</t>
  </si>
  <si>
    <t>01391</t>
  </si>
  <si>
    <t>03893</t>
  </si>
  <si>
    <t>01466</t>
  </si>
  <si>
    <t>01730</t>
  </si>
  <si>
    <t>01472</t>
  </si>
  <si>
    <t>01485</t>
  </si>
  <si>
    <t>000855</t>
  </si>
  <si>
    <t>01524</t>
  </si>
  <si>
    <t>01526</t>
  </si>
  <si>
    <t>000572</t>
  </si>
  <si>
    <t>01551</t>
  </si>
  <si>
    <t>139186</t>
  </si>
  <si>
    <t>01555</t>
  </si>
  <si>
    <t>139435</t>
  </si>
  <si>
    <t>01562</t>
  </si>
  <si>
    <t>03363</t>
  </si>
  <si>
    <t>01576</t>
  </si>
  <si>
    <t>01948</t>
  </si>
  <si>
    <t>01589</t>
  </si>
  <si>
    <t>139256</t>
  </si>
  <si>
    <t>01594</t>
  </si>
  <si>
    <t>002359</t>
  </si>
  <si>
    <t>01613</t>
  </si>
  <si>
    <t>000881</t>
  </si>
  <si>
    <t>01627</t>
  </si>
  <si>
    <t>001506</t>
  </si>
  <si>
    <t>01629</t>
  </si>
  <si>
    <t>03059</t>
  </si>
  <si>
    <t>01631</t>
  </si>
  <si>
    <t>139404</t>
  </si>
  <si>
    <t>01633</t>
  </si>
  <si>
    <t>001568</t>
  </si>
  <si>
    <t>01662</t>
  </si>
  <si>
    <t>000950</t>
  </si>
  <si>
    <t>01681</t>
  </si>
  <si>
    <t>01682</t>
  </si>
  <si>
    <t>04648</t>
  </si>
  <si>
    <t>01685</t>
  </si>
  <si>
    <t>139399</t>
  </si>
  <si>
    <t>01696</t>
  </si>
  <si>
    <t>002658</t>
  </si>
  <si>
    <t>01698</t>
  </si>
  <si>
    <t>01700</t>
  </si>
  <si>
    <t>004288</t>
  </si>
  <si>
    <t>01711</t>
  </si>
  <si>
    <t>001704</t>
  </si>
  <si>
    <t>01716</t>
  </si>
  <si>
    <t>03238</t>
  </si>
  <si>
    <t>01717</t>
  </si>
  <si>
    <t>04403</t>
  </si>
  <si>
    <t>001778</t>
  </si>
  <si>
    <t>01806</t>
  </si>
  <si>
    <t>01809</t>
  </si>
  <si>
    <t>01878</t>
  </si>
  <si>
    <t>002868</t>
  </si>
  <si>
    <t>01883</t>
  </si>
  <si>
    <t>01894</t>
  </si>
  <si>
    <t>01895</t>
  </si>
  <si>
    <t>003323</t>
  </si>
  <si>
    <t>01945</t>
  </si>
  <si>
    <t>03523</t>
  </si>
  <si>
    <t>01973</t>
  </si>
  <si>
    <t>01987</t>
  </si>
  <si>
    <t>002684</t>
  </si>
  <si>
    <t>01991</t>
  </si>
  <si>
    <t>02338</t>
  </si>
  <si>
    <t>02018</t>
  </si>
  <si>
    <t>001429</t>
  </si>
  <si>
    <t>02022</t>
  </si>
  <si>
    <t>02425</t>
  </si>
  <si>
    <t>02040</t>
  </si>
  <si>
    <t>02064</t>
  </si>
  <si>
    <t>000853</t>
  </si>
  <si>
    <t>02188</t>
  </si>
  <si>
    <t>02283</t>
  </si>
  <si>
    <t>02308</t>
  </si>
  <si>
    <t>137516</t>
  </si>
  <si>
    <t>02335</t>
  </si>
  <si>
    <t>02341</t>
  </si>
  <si>
    <t>02349</t>
  </si>
  <si>
    <t>02394</t>
  </si>
  <si>
    <t>02402</t>
  </si>
  <si>
    <t>000601</t>
  </si>
  <si>
    <t>02411</t>
  </si>
  <si>
    <t>003119</t>
  </si>
  <si>
    <t>02427</t>
  </si>
  <si>
    <t>02437</t>
  </si>
  <si>
    <t>000701</t>
  </si>
  <si>
    <t>02468</t>
  </si>
  <si>
    <t>02469</t>
  </si>
  <si>
    <t>001512</t>
  </si>
  <si>
    <t>02480</t>
  </si>
  <si>
    <t>02655</t>
  </si>
  <si>
    <t>02577</t>
  </si>
  <si>
    <t>148862</t>
  </si>
  <si>
    <t>02600</t>
  </si>
  <si>
    <t>00947</t>
  </si>
  <si>
    <t>02641</t>
  </si>
  <si>
    <t>02673</t>
  </si>
  <si>
    <t>02771</t>
  </si>
  <si>
    <t>003972</t>
  </si>
  <si>
    <t>02777</t>
  </si>
  <si>
    <t>03439</t>
  </si>
  <si>
    <t>02834</t>
  </si>
  <si>
    <t>01362</t>
  </si>
  <si>
    <t>02901</t>
  </si>
  <si>
    <t>02936</t>
  </si>
  <si>
    <t>02971</t>
  </si>
  <si>
    <t>003117</t>
  </si>
  <si>
    <t>03035</t>
  </si>
  <si>
    <t>03045</t>
  </si>
  <si>
    <t>03115</t>
  </si>
  <si>
    <t>003987</t>
  </si>
  <si>
    <t>03137</t>
  </si>
  <si>
    <t>000861</t>
  </si>
  <si>
    <t>03139</t>
  </si>
  <si>
    <t>000883</t>
  </si>
  <si>
    <t>03140</t>
  </si>
  <si>
    <t>137528</t>
  </si>
  <si>
    <t>03218</t>
  </si>
  <si>
    <t>03265</t>
  </si>
  <si>
    <t>004080</t>
  </si>
  <si>
    <t>03338</t>
  </si>
  <si>
    <t>003153</t>
  </si>
  <si>
    <t>03407</t>
  </si>
  <si>
    <t>139187</t>
  </si>
  <si>
    <t>03416</t>
  </si>
  <si>
    <t>139362</t>
  </si>
  <si>
    <t>03429</t>
  </si>
  <si>
    <t>003330</t>
  </si>
  <si>
    <t>03441</t>
  </si>
  <si>
    <t>03500</t>
  </si>
  <si>
    <t>03525</t>
  </si>
  <si>
    <t>147722</t>
  </si>
  <si>
    <t>03575</t>
  </si>
  <si>
    <t>002685</t>
  </si>
  <si>
    <t>03602</t>
  </si>
  <si>
    <t>002890</t>
  </si>
  <si>
    <t>002583</t>
  </si>
  <si>
    <t>03686</t>
  </si>
  <si>
    <t>03728</t>
  </si>
  <si>
    <t>03823</t>
  </si>
  <si>
    <t>148883</t>
  </si>
  <si>
    <t>03836</t>
  </si>
  <si>
    <t>002690</t>
  </si>
  <si>
    <t>03858</t>
  </si>
  <si>
    <t>003157</t>
  </si>
  <si>
    <t>03921</t>
  </si>
  <si>
    <t>002340</t>
  </si>
  <si>
    <t>03929</t>
  </si>
  <si>
    <t>00478</t>
  </si>
  <si>
    <t>03945</t>
  </si>
  <si>
    <t>002335</t>
  </si>
  <si>
    <t>03954</t>
  </si>
  <si>
    <t>004200</t>
  </si>
  <si>
    <t>04012</t>
  </si>
  <si>
    <t>000600</t>
  </si>
  <si>
    <t>04114</t>
  </si>
  <si>
    <t>002481</t>
  </si>
  <si>
    <t>FCO  ALEJANDRO</t>
  </si>
  <si>
    <t>04119</t>
  </si>
  <si>
    <t>002115</t>
  </si>
  <si>
    <t>04159</t>
  </si>
  <si>
    <t>002162</t>
  </si>
  <si>
    <t>141195</t>
  </si>
  <si>
    <t>04190</t>
  </si>
  <si>
    <t>04193</t>
  </si>
  <si>
    <t>002083</t>
  </si>
  <si>
    <t>04199</t>
  </si>
  <si>
    <t>002123</t>
  </si>
  <si>
    <t>04219</t>
  </si>
  <si>
    <t>04231</t>
  </si>
  <si>
    <t>144089</t>
  </si>
  <si>
    <t>04245</t>
  </si>
  <si>
    <t>04248</t>
  </si>
  <si>
    <t>002129</t>
  </si>
  <si>
    <t>04287</t>
  </si>
  <si>
    <t>04297</t>
  </si>
  <si>
    <t>04309</t>
  </si>
  <si>
    <t>145420</t>
  </si>
  <si>
    <t>04330</t>
  </si>
  <si>
    <t>137507</t>
  </si>
  <si>
    <t>04361</t>
  </si>
  <si>
    <t>139415</t>
  </si>
  <si>
    <t>04388</t>
  </si>
  <si>
    <t>139314</t>
  </si>
  <si>
    <t>04411</t>
  </si>
  <si>
    <t>04415</t>
  </si>
  <si>
    <t>139325</t>
  </si>
  <si>
    <t>04512</t>
  </si>
  <si>
    <t>002746</t>
  </si>
  <si>
    <t>04546</t>
  </si>
  <si>
    <t>04555</t>
  </si>
  <si>
    <t>04568</t>
  </si>
  <si>
    <t>000885</t>
  </si>
  <si>
    <t>04609</t>
  </si>
  <si>
    <t>04615</t>
  </si>
  <si>
    <t>04635</t>
  </si>
  <si>
    <t>002749</t>
  </si>
  <si>
    <t>04639</t>
  </si>
  <si>
    <t>04641</t>
  </si>
  <si>
    <t>139411</t>
  </si>
  <si>
    <t>04668</t>
  </si>
  <si>
    <t>000584</t>
  </si>
  <si>
    <t>04670</t>
  </si>
  <si>
    <t>004345</t>
  </si>
  <si>
    <t>04674</t>
  </si>
  <si>
    <t>000586</t>
  </si>
  <si>
    <t>04772</t>
  </si>
  <si>
    <t>144619</t>
  </si>
  <si>
    <t>04789</t>
  </si>
  <si>
    <t>00131</t>
  </si>
  <si>
    <t>FERNANDEZ  CARO</t>
  </si>
  <si>
    <t>000008</t>
  </si>
  <si>
    <t>002483</t>
  </si>
  <si>
    <t>15</t>
  </si>
  <si>
    <t>000013</t>
  </si>
  <si>
    <t>001863</t>
  </si>
  <si>
    <t>52</t>
  </si>
  <si>
    <t>000018</t>
  </si>
  <si>
    <t>000030</t>
  </si>
  <si>
    <t>37</t>
  </si>
  <si>
    <t>000032</t>
  </si>
  <si>
    <t>000034</t>
  </si>
  <si>
    <t>000006</t>
  </si>
  <si>
    <t>000077</t>
  </si>
  <si>
    <t>000431</t>
  </si>
  <si>
    <t>SALES MANAGER  ISOVER ESP &amp; SG TRANSFORMADOS</t>
  </si>
  <si>
    <t>003260</t>
  </si>
  <si>
    <t>000446</t>
  </si>
  <si>
    <t>002297</t>
  </si>
  <si>
    <t>ARBOS PLANT MANAGER SGS &amp; DEVISA  MGR</t>
  </si>
  <si>
    <t>001048</t>
  </si>
  <si>
    <t>001864</t>
  </si>
  <si>
    <t>001049</t>
  </si>
  <si>
    <t>001136</t>
  </si>
  <si>
    <t>001138</t>
  </si>
  <si>
    <t>76</t>
  </si>
  <si>
    <t>001139</t>
  </si>
  <si>
    <t>001804</t>
  </si>
  <si>
    <t>001798</t>
  </si>
  <si>
    <t>27</t>
  </si>
  <si>
    <t>001807</t>
  </si>
  <si>
    <t>002396</t>
  </si>
  <si>
    <t>002416</t>
  </si>
  <si>
    <t>000674</t>
  </si>
  <si>
    <t>002664</t>
  </si>
  <si>
    <t>002846</t>
  </si>
  <si>
    <t>002850</t>
  </si>
  <si>
    <t>003263</t>
  </si>
  <si>
    <t>004321</t>
  </si>
  <si>
    <t>HRD SG GLASS SPAIN&amp;PORT &amp; GLASSOLUT &amp;RRLL  ESPAÑA</t>
  </si>
  <si>
    <t>003405</t>
  </si>
  <si>
    <t>004322</t>
  </si>
  <si>
    <t>00672</t>
  </si>
  <si>
    <t>00601</t>
  </si>
  <si>
    <t>01045</t>
  </si>
  <si>
    <t>01261</t>
  </si>
  <si>
    <t>00544</t>
  </si>
  <si>
    <t>00740</t>
  </si>
  <si>
    <t>02650</t>
  </si>
  <si>
    <t>00466</t>
  </si>
  <si>
    <t>00585</t>
  </si>
  <si>
    <t>00763</t>
  </si>
  <si>
    <t>00765</t>
  </si>
  <si>
    <t>00769</t>
  </si>
  <si>
    <t>65</t>
  </si>
  <si>
    <t>01069</t>
  </si>
  <si>
    <t>01187</t>
  </si>
  <si>
    <t>01274</t>
  </si>
  <si>
    <t>01322</t>
  </si>
  <si>
    <t>02170</t>
  </si>
  <si>
    <t>02193</t>
  </si>
  <si>
    <t>02257</t>
  </si>
  <si>
    <t>02336</t>
  </si>
  <si>
    <t>02912</t>
  </si>
  <si>
    <t>03164</t>
  </si>
  <si>
    <t>92</t>
  </si>
  <si>
    <t>04302</t>
  </si>
  <si>
    <t>74</t>
  </si>
  <si>
    <t>00073</t>
  </si>
  <si>
    <t>00240</t>
  </si>
  <si>
    <t>00366</t>
  </si>
  <si>
    <t>00446</t>
  </si>
  <si>
    <t>00563</t>
  </si>
  <si>
    <t>00611</t>
  </si>
  <si>
    <t>00613</t>
  </si>
  <si>
    <t>00628</t>
  </si>
  <si>
    <t>00629</t>
  </si>
  <si>
    <t>00645</t>
  </si>
  <si>
    <t>00836</t>
  </si>
  <si>
    <t>00864</t>
  </si>
  <si>
    <t>00895</t>
  </si>
  <si>
    <t>01138</t>
  </si>
  <si>
    <t>01295</t>
  </si>
  <si>
    <t>01330</t>
  </si>
  <si>
    <t>01361</t>
  </si>
  <si>
    <t>01525</t>
  </si>
  <si>
    <t>01788</t>
  </si>
  <si>
    <t>02030</t>
  </si>
  <si>
    <t>02054</t>
  </si>
  <si>
    <t>02529</t>
  </si>
  <si>
    <t>02554</t>
  </si>
  <si>
    <t>02583</t>
  </si>
  <si>
    <t>02658</t>
  </si>
  <si>
    <t>03275</t>
  </si>
  <si>
    <t>03505</t>
  </si>
  <si>
    <t>03540</t>
  </si>
  <si>
    <t>03592</t>
  </si>
  <si>
    <t>03619</t>
  </si>
  <si>
    <t>03629</t>
  </si>
  <si>
    <t>03912</t>
  </si>
  <si>
    <t>03960</t>
  </si>
  <si>
    <t>03964</t>
  </si>
  <si>
    <t>04234</t>
  </si>
  <si>
    <t>04374</t>
  </si>
  <si>
    <t>00346</t>
  </si>
  <si>
    <t>00595</t>
  </si>
  <si>
    <t>00605</t>
  </si>
  <si>
    <t>01264</t>
  </si>
  <si>
    <t>01492</t>
  </si>
  <si>
    <t>01653</t>
  </si>
  <si>
    <t>01754</t>
  </si>
  <si>
    <t>01884</t>
  </si>
  <si>
    <t>01905</t>
  </si>
  <si>
    <t>02066</t>
  </si>
  <si>
    <t>02436</t>
  </si>
  <si>
    <t>02582</t>
  </si>
  <si>
    <t>03333</t>
  </si>
  <si>
    <t>03538</t>
  </si>
  <si>
    <t>03672</t>
  </si>
  <si>
    <t>03700</t>
  </si>
  <si>
    <t>03886</t>
  </si>
  <si>
    <t>04052</t>
  </si>
  <si>
    <t>04664</t>
  </si>
  <si>
    <t>00017</t>
  </si>
  <si>
    <t>00107</t>
  </si>
  <si>
    <t>00117</t>
  </si>
  <si>
    <t>00133</t>
  </si>
  <si>
    <t>00149</t>
  </si>
  <si>
    <t>00308</t>
  </si>
  <si>
    <t>00354</t>
  </si>
  <si>
    <t>00375</t>
  </si>
  <si>
    <t>00378</t>
  </si>
  <si>
    <t>00393</t>
  </si>
  <si>
    <t>00425</t>
  </si>
  <si>
    <t>00431</t>
  </si>
  <si>
    <t>00438</t>
  </si>
  <si>
    <t>00456</t>
  </si>
  <si>
    <t>00470</t>
  </si>
  <si>
    <t>00475</t>
  </si>
  <si>
    <t>00477</t>
  </si>
  <si>
    <t>00485</t>
  </si>
  <si>
    <t>00495</t>
  </si>
  <si>
    <t>00519</t>
  </si>
  <si>
    <t>00575</t>
  </si>
  <si>
    <t>00590</t>
  </si>
  <si>
    <t>00614</t>
  </si>
  <si>
    <t>00745</t>
  </si>
  <si>
    <t>00830</t>
  </si>
  <si>
    <t>00925</t>
  </si>
  <si>
    <t>01131</t>
  </si>
  <si>
    <t>01147</t>
  </si>
  <si>
    <t>01167</t>
  </si>
  <si>
    <t>01179</t>
  </si>
  <si>
    <t>01239</t>
  </si>
  <si>
    <t>01256</t>
  </si>
  <si>
    <t>01286</t>
  </si>
  <si>
    <t>01296</t>
  </si>
  <si>
    <t>01394</t>
  </si>
  <si>
    <t>01563</t>
  </si>
  <si>
    <t>01568</t>
  </si>
  <si>
    <t>01582</t>
  </si>
  <si>
    <t>01595</t>
  </si>
  <si>
    <t>01622</t>
  </si>
  <si>
    <t>01802</t>
  </si>
  <si>
    <t>01805</t>
  </si>
  <si>
    <t>01814</t>
  </si>
  <si>
    <t>01815</t>
  </si>
  <si>
    <t>01862</t>
  </si>
  <si>
    <t>01868</t>
  </si>
  <si>
    <t>01929</t>
  </si>
  <si>
    <t>01939</t>
  </si>
  <si>
    <t>01982</t>
  </si>
  <si>
    <t>02007</t>
  </si>
  <si>
    <t>02027</t>
  </si>
  <si>
    <t>02055</t>
  </si>
  <si>
    <t>02079</t>
  </si>
  <si>
    <t>02315</t>
  </si>
  <si>
    <t>02387</t>
  </si>
  <si>
    <t>02396</t>
  </si>
  <si>
    <t>02438</t>
  </si>
  <si>
    <t>02441</t>
  </si>
  <si>
    <t>02481</t>
  </si>
  <si>
    <t>02500</t>
  </si>
  <si>
    <t>02549</t>
  </si>
  <si>
    <t>02562</t>
  </si>
  <si>
    <t>02572</t>
  </si>
  <si>
    <t>02585</t>
  </si>
  <si>
    <t>02618</t>
  </si>
  <si>
    <t>02636</t>
  </si>
  <si>
    <t>02677</t>
  </si>
  <si>
    <t>02680</t>
  </si>
  <si>
    <t>02689</t>
  </si>
  <si>
    <t>02690</t>
  </si>
  <si>
    <t>02696</t>
  </si>
  <si>
    <t>02699</t>
  </si>
  <si>
    <t>02708</t>
  </si>
  <si>
    <t>02709</t>
  </si>
  <si>
    <t>02733</t>
  </si>
  <si>
    <t>02738</t>
  </si>
  <si>
    <t>02754</t>
  </si>
  <si>
    <t>02795</t>
  </si>
  <si>
    <t>02797</t>
  </si>
  <si>
    <t>02815</t>
  </si>
  <si>
    <t>02816</t>
  </si>
  <si>
    <t>02843</t>
  </si>
  <si>
    <t>02853</t>
  </si>
  <si>
    <t>02895</t>
  </si>
  <si>
    <t>02924</t>
  </si>
  <si>
    <t>02943</t>
  </si>
  <si>
    <t>03017</t>
  </si>
  <si>
    <t>03033</t>
  </si>
  <si>
    <t>03088</t>
  </si>
  <si>
    <t>03097</t>
  </si>
  <si>
    <t>03126</t>
  </si>
  <si>
    <t>03168</t>
  </si>
  <si>
    <t>03175</t>
  </si>
  <si>
    <t>03219</t>
  </si>
  <si>
    <t>03220</t>
  </si>
  <si>
    <t>03273</t>
  </si>
  <si>
    <t>03313</t>
  </si>
  <si>
    <t>03314</t>
  </si>
  <si>
    <t>03360</t>
  </si>
  <si>
    <t>03362</t>
  </si>
  <si>
    <t>03402</t>
  </si>
  <si>
    <t>03431</t>
  </si>
  <si>
    <t>03444</t>
  </si>
  <si>
    <t>03459</t>
  </si>
  <si>
    <t>03469</t>
  </si>
  <si>
    <t>03477</t>
  </si>
  <si>
    <t>03488</t>
  </si>
  <si>
    <t>03519</t>
  </si>
  <si>
    <t>03589</t>
  </si>
  <si>
    <t>03590</t>
  </si>
  <si>
    <t>03608</t>
  </si>
  <si>
    <t>03614</t>
  </si>
  <si>
    <t>03637</t>
  </si>
  <si>
    <t>03639</t>
  </si>
  <si>
    <t>03642</t>
  </si>
  <si>
    <t>03648</t>
  </si>
  <si>
    <t>03656</t>
  </si>
  <si>
    <t>03674</t>
  </si>
  <si>
    <t>03691</t>
  </si>
  <si>
    <t>03715</t>
  </si>
  <si>
    <t>03775</t>
  </si>
  <si>
    <t>03797</t>
  </si>
  <si>
    <t>03817</t>
  </si>
  <si>
    <t>03947</t>
  </si>
  <si>
    <t>03948</t>
  </si>
  <si>
    <t>04321</t>
  </si>
  <si>
    <t>04420</t>
  </si>
  <si>
    <t>04439</t>
  </si>
  <si>
    <t>04451</t>
  </si>
  <si>
    <t>04528</t>
  </si>
  <si>
    <t>04550</t>
  </si>
  <si>
    <t>04582</t>
  </si>
  <si>
    <t>04610</t>
  </si>
  <si>
    <t>04612</t>
  </si>
  <si>
    <t>04638</t>
  </si>
  <si>
    <t>04680</t>
  </si>
  <si>
    <t>04749</t>
  </si>
  <si>
    <t>04760</t>
  </si>
  <si>
    <t>04773</t>
  </si>
  <si>
    <t>04785</t>
  </si>
  <si>
    <t>Coinciden con V11</t>
  </si>
  <si>
    <t>Coinciden con V1</t>
  </si>
  <si>
    <t>Coinciden con V1_BCK</t>
  </si>
  <si>
    <t>No se ha obtenido el SGID del empleado en CONSULTA ORIGINAL</t>
  </si>
  <si>
    <t>El empleado RESPONSABLE tiene histórico POSICIÓN CERRADO en fechas FUERA del periodo actual</t>
  </si>
  <si>
    <t>El empleado RESPONSABLE tiene histórico POSICIÓN VÁLIDO en fechas DENTRO del periodo actual</t>
  </si>
  <si>
    <t>El empleado RESPONSABLE tiene el histórico POSICIÓN CERRADO en fechas FUERA del periodo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</si>
</sst>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NumberFormat="1"/>
    <xf numFmtId="0" fontId="0" fillId="2" borderId="0" xfId="0" applyFill="1"/>
    <xf numFmtId="0" fontId="0" fillId="2" borderId="0" xfId="0" applyNumberFormat="1" applyFill="1"/>
    <xf numFmtId="49" fontId="0" fillId="2" borderId="0" xfId="0" applyNumberFormat="1" applyFill="1" applyAlignment="1">
      <alignment vertical="center" wrapText="1"/>
    </xf>
    <xf numFmtId="49" fontId="0" fillId="2" borderId="0" xfId="0" applyNumberFormat="1" applyFill="1"/>
    <xf numFmtId="0" fontId="0" fillId="3" borderId="0" xfId="0" applyNumberFormat="1" applyFill="1"/>
    <xf numFmtId="0" fontId="0" fillId="3" borderId="0" xfId="0" applyFill="1"/>
    <xf numFmtId="49" fontId="0" fillId="3" borderId="0" xfId="0" applyNumberFormat="1" applyFill="1" applyAlignment="1">
      <alignment vertical="center" wrapText="1"/>
    </xf>
    <xf numFmtId="49" fontId="0" fillId="3" borderId="0" xfId="0" applyNumberFormat="1" applyFill="1"/>
    <xf numFmtId="0" fontId="0" fillId="4" borderId="0" xfId="0" applyFill="1"/>
    <xf numFmtId="0" fontId="0" fillId="4" borderId="0" xfId="0" applyNumberFormat="1" applyFill="1"/>
    <xf numFmtId="49" fontId="0" fillId="4" borderId="0" xfId="0" applyNumberFormat="1" applyFill="1" applyAlignment="1">
      <alignment vertical="center" wrapText="1"/>
    </xf>
    <xf numFmtId="49" fontId="0" fillId="4" borderId="0" xfId="0" applyNumberFormat="1" applyFill="1"/>
    <xf numFmtId="0" fontId="0" fillId="5" borderId="0" xfId="0" applyNumberFormat="1" applyFill="1"/>
    <xf numFmtId="0" fontId="0" fillId="5" borderId="0" xfId="0" applyFill="1"/>
  </cellXfs>
  <cellStyles count="1">
    <cellStyle name="Normal" xfId="0" builtinId="0"/>
  </cellStyles>
  <dxfs count="2">
    <dxf>
      <fill>
        <patternFill patternType="solid">
          <fgColor rgb="FF92D050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DF436-0D81-4E78-A489-4CCC3FA04944}">
  <sheetPr filterMode="1"/>
  <dimension ref="A1:U342"/>
  <sheetViews>
    <sheetView workbookViewId="0">
      <pane ySplit="1" topLeftCell="A18" activePane="bottomLeft" state="frozen"/>
      <selection pane="bottomLeft" activeCell="A329" sqref="A329"/>
    </sheetView>
  </sheetViews>
  <sheetFormatPr baseColWidth="10" defaultRowHeight="15" x14ac:dyDescent="0.25"/>
  <cols>
    <col min="1" max="1" width="19.7109375" style="1" bestFit="1" customWidth="1"/>
    <col min="2" max="3" width="19.7109375" style="3" bestFit="1" customWidth="1"/>
    <col min="4" max="4" width="9.5703125" style="1" bestFit="1" customWidth="1"/>
    <col min="5" max="5" width="11.28515625" style="1" bestFit="1" customWidth="1"/>
    <col min="6" max="6" width="16.85546875" style="1" bestFit="1" customWidth="1"/>
    <col min="7" max="7" width="18.7109375" style="1" bestFit="1" customWidth="1"/>
    <col min="8" max="8" width="13.28515625" style="1" bestFit="1" customWidth="1"/>
    <col min="9" max="9" width="20.7109375" style="1" bestFit="1" customWidth="1"/>
    <col min="10" max="10" width="15.85546875" style="1" bestFit="1" customWidth="1"/>
    <col min="11" max="11" width="15" style="1" bestFit="1" customWidth="1"/>
    <col min="12" max="12" width="13.28515625" style="1" bestFit="1" customWidth="1"/>
    <col min="13" max="13" width="19" style="1" bestFit="1" customWidth="1"/>
    <col min="14" max="14" width="18" style="1" bestFit="1" customWidth="1"/>
    <col min="15" max="15" width="25.5703125" style="1" bestFit="1" customWidth="1"/>
    <col min="16" max="16" width="24.7109375" style="1" bestFit="1" customWidth="1"/>
    <col min="17" max="17" width="27.28515625" style="1" bestFit="1" customWidth="1"/>
    <col min="18" max="18" width="26.42578125" style="1" bestFit="1" customWidth="1"/>
    <col min="19" max="19" width="13.85546875" style="1" bestFit="1" customWidth="1"/>
    <col min="20" max="20" width="15.28515625" style="1" bestFit="1" customWidth="1"/>
    <col min="21" max="21" width="11" style="1" bestFit="1" customWidth="1"/>
    <col min="22" max="16384" width="11.42578125" style="1"/>
  </cols>
  <sheetData>
    <row r="1" spans="1:21" x14ac:dyDescent="0.25">
      <c r="A1" s="1" t="s">
        <v>2636</v>
      </c>
      <c r="B1" s="3" t="s">
        <v>2635</v>
      </c>
      <c r="D1" s="1" t="s">
        <v>1293</v>
      </c>
      <c r="E1" s="1" t="s">
        <v>841</v>
      </c>
      <c r="F1" s="1" t="s">
        <v>1294</v>
      </c>
      <c r="G1" s="1" t="s">
        <v>1295</v>
      </c>
      <c r="H1" s="1" t="s">
        <v>1296</v>
      </c>
      <c r="I1" s="1" t="s">
        <v>1297</v>
      </c>
      <c r="J1" s="1" t="s">
        <v>1298</v>
      </c>
      <c r="K1" s="1" t="s">
        <v>1299</v>
      </c>
      <c r="L1" s="1" t="s">
        <v>1296</v>
      </c>
      <c r="M1" s="1" t="s">
        <v>1300</v>
      </c>
      <c r="N1" s="1" t="s">
        <v>1301</v>
      </c>
      <c r="O1" s="1" t="s">
        <v>1302</v>
      </c>
      <c r="P1" s="1" t="s">
        <v>1303</v>
      </c>
      <c r="Q1" s="1" t="s">
        <v>1304</v>
      </c>
      <c r="R1" s="1" t="s">
        <v>1305</v>
      </c>
      <c r="S1" s="1" t="s">
        <v>1306</v>
      </c>
      <c r="T1" s="1" t="s">
        <v>1307</v>
      </c>
      <c r="U1" s="1" t="s">
        <v>1308</v>
      </c>
    </row>
    <row r="2" spans="1:21" hidden="1" x14ac:dyDescent="0.25">
      <c r="A2" s="3" t="str">
        <f>INDEX('Correg (V1)'!$B:$B,MATCH($C2,'Correg (V1)'!$B:$B,0),1)</f>
        <v>A0702288-A0702288-</v>
      </c>
      <c r="B2" s="3" t="str">
        <f>INDEX('Nueva (V11)'!$B:$B,MATCH($C2,'Nueva (V11)'!$B:$B,0),1)</f>
        <v>A0702288-A0702288-</v>
      </c>
      <c r="C2" s="3" t="str">
        <f>_xlfn.TEXTJOIN("-",FALSE,$D2,$J2,$K2)</f>
        <v>A0702288-A0702288-</v>
      </c>
      <c r="D2" s="2" t="s">
        <v>598</v>
      </c>
      <c r="E2" s="2" t="s">
        <v>599</v>
      </c>
      <c r="F2" s="2" t="s">
        <v>600</v>
      </c>
      <c r="G2" s="2" t="s">
        <v>8</v>
      </c>
      <c r="H2" s="2" t="s">
        <v>2147</v>
      </c>
      <c r="I2" s="2" t="s">
        <v>601</v>
      </c>
      <c r="J2" s="2" t="s">
        <v>598</v>
      </c>
      <c r="K2" s="2"/>
      <c r="L2" s="2" t="s">
        <v>2148</v>
      </c>
      <c r="M2" s="2" t="s">
        <v>599</v>
      </c>
      <c r="N2" s="2"/>
      <c r="O2" s="2" t="s">
        <v>600</v>
      </c>
      <c r="P2" s="2"/>
      <c r="Q2" s="2" t="s">
        <v>8</v>
      </c>
      <c r="R2" s="2"/>
      <c r="S2" s="2"/>
      <c r="T2" s="2"/>
      <c r="U2" s="2" t="s">
        <v>2038</v>
      </c>
    </row>
    <row r="3" spans="1:21" hidden="1" x14ac:dyDescent="0.25">
      <c r="A3" s="3" t="str">
        <f>INDEX('Correg (V1)'!$B:$B,MATCH($C3,'Correg (V1)'!$B:$B,0),1)</f>
        <v>A1137670--G3229318</v>
      </c>
      <c r="B3" s="3" t="e">
        <f>INDEX('Nueva (V11)'!$B:$B,MATCH($C3,'Nueva (V11)'!$B:$B,0),1)</f>
        <v>#N/A</v>
      </c>
      <c r="C3" s="3" t="str">
        <f>_xlfn.TEXTJOIN("-",FALSE,$D3,$J3,$K3)</f>
        <v>A1137670--G3229318</v>
      </c>
      <c r="D3" s="2" t="s">
        <v>942</v>
      </c>
      <c r="E3" s="2" t="s">
        <v>68</v>
      </c>
      <c r="F3" s="2" t="s">
        <v>44</v>
      </c>
      <c r="G3" s="2" t="s">
        <v>943</v>
      </c>
      <c r="H3" s="2" t="s">
        <v>2269</v>
      </c>
      <c r="I3" s="2" t="s">
        <v>944</v>
      </c>
      <c r="J3" s="2"/>
      <c r="K3" s="2" t="s">
        <v>791</v>
      </c>
      <c r="L3" s="2" t="s">
        <v>2219</v>
      </c>
      <c r="M3" s="2"/>
      <c r="N3" s="2" t="s">
        <v>524</v>
      </c>
      <c r="O3" s="2"/>
      <c r="P3" s="2" t="s">
        <v>792</v>
      </c>
      <c r="Q3" s="2"/>
      <c r="R3" s="2" t="s">
        <v>793</v>
      </c>
      <c r="S3" s="2"/>
      <c r="T3" s="2"/>
      <c r="U3" s="2" t="s">
        <v>2046</v>
      </c>
    </row>
    <row r="4" spans="1:21" hidden="1" x14ac:dyDescent="0.25">
      <c r="A4" s="3" t="str">
        <f>INDEX('Correg (V1)'!$B:$B,MATCH($C4,'Correg (V1)'!$B:$B,0),1)</f>
        <v>A1692880-A1692880-</v>
      </c>
      <c r="B4" s="3" t="str">
        <f>INDEX('Nueva (V11)'!$B:$B,MATCH($C4,'Nueva (V11)'!$B:$B,0),1)</f>
        <v>A1692880-A1692880-</v>
      </c>
      <c r="C4" s="3" t="str">
        <f>_xlfn.TEXTJOIN("-",FALSE,$D4,$J4,$K4)</f>
        <v>A1692880-A1692880-</v>
      </c>
      <c r="D4" s="2" t="s">
        <v>602</v>
      </c>
      <c r="E4" s="2" t="s">
        <v>68</v>
      </c>
      <c r="F4" s="2" t="s">
        <v>603</v>
      </c>
      <c r="G4" s="2" t="s">
        <v>604</v>
      </c>
      <c r="H4" s="2" t="s">
        <v>2149</v>
      </c>
      <c r="I4" s="2" t="s">
        <v>605</v>
      </c>
      <c r="J4" s="2" t="s">
        <v>602</v>
      </c>
      <c r="K4" s="2"/>
      <c r="L4" s="2" t="s">
        <v>2150</v>
      </c>
      <c r="M4" s="2" t="s">
        <v>68</v>
      </c>
      <c r="N4" s="2"/>
      <c r="O4" s="2" t="s">
        <v>603</v>
      </c>
      <c r="P4" s="2"/>
      <c r="Q4" s="2" t="s">
        <v>604</v>
      </c>
      <c r="R4" s="2"/>
      <c r="S4" s="2"/>
      <c r="T4" s="2"/>
      <c r="U4" s="2" t="s">
        <v>47</v>
      </c>
    </row>
    <row r="5" spans="1:21" hidden="1" x14ac:dyDescent="0.25">
      <c r="A5" s="3" t="str">
        <f>INDEX('Correg (V1)'!$B:$B,MATCH($C5,'Correg (V1)'!$B:$B,0),1)</f>
        <v>A1778775--I7600760</v>
      </c>
      <c r="B5" s="3" t="e">
        <f>INDEX('Nueva (V11)'!$B:$B,MATCH($C5,'Nueva (V11)'!$B:$B,0),1)</f>
        <v>#N/A</v>
      </c>
      <c r="C5" s="3" t="str">
        <f>_xlfn.TEXTJOIN("-",FALSE,$D5,$J5,$K5)</f>
        <v>A1778775--I7600760</v>
      </c>
      <c r="D5" s="2" t="s">
        <v>1121</v>
      </c>
      <c r="E5" s="2" t="s">
        <v>68</v>
      </c>
      <c r="F5" s="2" t="s">
        <v>1005</v>
      </c>
      <c r="G5" s="2" t="s">
        <v>11</v>
      </c>
      <c r="H5" s="2" t="s">
        <v>2355</v>
      </c>
      <c r="I5" s="2" t="s">
        <v>2355</v>
      </c>
      <c r="J5" s="2"/>
      <c r="K5" s="2" t="s">
        <v>822</v>
      </c>
      <c r="L5" s="2" t="s">
        <v>2229</v>
      </c>
      <c r="M5" s="2"/>
      <c r="N5" s="2" t="s">
        <v>823</v>
      </c>
      <c r="O5" s="2"/>
      <c r="P5" s="2" t="s">
        <v>824</v>
      </c>
      <c r="Q5" s="2"/>
      <c r="R5" s="2" t="s">
        <v>825</v>
      </c>
      <c r="S5" s="2"/>
      <c r="T5" s="2"/>
      <c r="U5" s="2" t="s">
        <v>2083</v>
      </c>
    </row>
    <row r="6" spans="1:21" ht="30" hidden="1" x14ac:dyDescent="0.25">
      <c r="A6" s="3" t="str">
        <f>INDEX('Correg (V1)'!$B:$B,MATCH($C6,'Correg (V1)'!$B:$B,0),1)</f>
        <v>A1975872--J2161690</v>
      </c>
      <c r="B6" s="3" t="str">
        <f>INDEX('Nueva (V11)'!$B:$B,MATCH($C6,'Nueva (V11)'!$B:$B,0),1)</f>
        <v>A1975872--J2161690</v>
      </c>
      <c r="C6" s="3" t="str">
        <f>_xlfn.TEXTJOIN("-",FALSE,$D6,$J6,$K6)</f>
        <v>A1975872--J2161690</v>
      </c>
      <c r="D6" s="2" t="s">
        <v>466</v>
      </c>
      <c r="E6" s="2" t="s">
        <v>467</v>
      </c>
      <c r="F6" s="2" t="s">
        <v>11</v>
      </c>
      <c r="G6" s="2" t="s">
        <v>468</v>
      </c>
      <c r="H6" s="2" t="s">
        <v>2090</v>
      </c>
      <c r="I6" s="2" t="s">
        <v>469</v>
      </c>
      <c r="J6" s="2"/>
      <c r="K6" s="2" t="s">
        <v>470</v>
      </c>
      <c r="L6" s="2" t="s">
        <v>2091</v>
      </c>
      <c r="M6" s="2"/>
      <c r="N6" s="2" t="s">
        <v>458</v>
      </c>
      <c r="O6" s="2"/>
      <c r="P6" s="2" t="s">
        <v>8</v>
      </c>
      <c r="Q6" s="2"/>
      <c r="R6" s="2" t="s">
        <v>471</v>
      </c>
      <c r="S6" s="2"/>
      <c r="T6" s="2"/>
      <c r="U6" s="2" t="s">
        <v>2080</v>
      </c>
    </row>
    <row r="7" spans="1:21" hidden="1" x14ac:dyDescent="0.25">
      <c r="A7" s="3" t="str">
        <f>INDEX('Correg (V1)'!$B:$B,MATCH($C7,'Correg (V1)'!$B:$B,0),1)</f>
        <v>A2056971-A2056971-</v>
      </c>
      <c r="B7" s="3" t="e">
        <f>INDEX('Nueva (V11)'!$B:$B,MATCH($C7,'Nueva (V11)'!$B:$B,0),1)</f>
        <v>#N/A</v>
      </c>
      <c r="C7" s="3" t="str">
        <f>_xlfn.TEXTJOIN("-",FALSE,$D7,$J7,$K7)</f>
        <v>A2056971-A2056971-</v>
      </c>
      <c r="D7" s="2" t="s">
        <v>1080</v>
      </c>
      <c r="E7" s="2" t="s">
        <v>758</v>
      </c>
      <c r="F7" s="2" t="s">
        <v>1081</v>
      </c>
      <c r="G7" s="2" t="s">
        <v>1082</v>
      </c>
      <c r="H7" s="2" t="s">
        <v>2338</v>
      </c>
      <c r="I7" s="2" t="s">
        <v>1083</v>
      </c>
      <c r="J7" s="2" t="s">
        <v>1080</v>
      </c>
      <c r="K7" s="2"/>
      <c r="L7" s="2" t="s">
        <v>2339</v>
      </c>
      <c r="M7" s="2" t="s">
        <v>758</v>
      </c>
      <c r="N7" s="2"/>
      <c r="O7" s="2" t="s">
        <v>1081</v>
      </c>
      <c r="P7" s="2"/>
      <c r="Q7" s="2" t="s">
        <v>1082</v>
      </c>
      <c r="R7" s="2"/>
      <c r="S7" s="2"/>
      <c r="T7" s="2"/>
      <c r="U7" s="2" t="s">
        <v>2038</v>
      </c>
    </row>
    <row r="8" spans="1:21" hidden="1" x14ac:dyDescent="0.25">
      <c r="A8" s="3" t="str">
        <f>INDEX('Correg (V1)'!$B:$B,MATCH($C8,'Correg (V1)'!$B:$B,0),1)</f>
        <v>A2422013-A2422013-</v>
      </c>
      <c r="B8" s="3" t="str">
        <f>INDEX('Nueva (V11)'!$B:$B,MATCH($C8,'Nueva (V11)'!$B:$B,0),1)</f>
        <v>A2422013-A2422013-</v>
      </c>
      <c r="C8" s="3" t="str">
        <f>_xlfn.TEXTJOIN("-",FALSE,$D8,$J8,$K8)</f>
        <v>A2422013-A2422013-</v>
      </c>
      <c r="D8" s="2" t="s">
        <v>575</v>
      </c>
      <c r="E8" s="2" t="s">
        <v>576</v>
      </c>
      <c r="F8" s="2" t="s">
        <v>577</v>
      </c>
      <c r="G8" s="2" t="s">
        <v>578</v>
      </c>
      <c r="H8" s="2" t="s">
        <v>2138</v>
      </c>
      <c r="I8" s="2" t="s">
        <v>579</v>
      </c>
      <c r="J8" s="2" t="s">
        <v>575</v>
      </c>
      <c r="K8" s="2"/>
      <c r="L8" s="2" t="s">
        <v>2139</v>
      </c>
      <c r="M8" s="2" t="s">
        <v>576</v>
      </c>
      <c r="N8" s="2"/>
      <c r="O8" s="2" t="s">
        <v>577</v>
      </c>
      <c r="P8" s="2"/>
      <c r="Q8" s="2" t="s">
        <v>578</v>
      </c>
      <c r="R8" s="2"/>
      <c r="S8" s="2"/>
      <c r="T8" s="2"/>
      <c r="U8" s="2" t="s">
        <v>2083</v>
      </c>
    </row>
    <row r="9" spans="1:21" hidden="1" x14ac:dyDescent="0.25">
      <c r="A9" s="3" t="str">
        <f>INDEX('Correg (V1)'!$B:$B,MATCH($C9,'Correg (V1)'!$B:$B,0),1)</f>
        <v>A3127479-A3127479-</v>
      </c>
      <c r="B9" s="3" t="e">
        <f>INDEX('Nueva (V11)'!$B:$B,MATCH($C9,'Nueva (V11)'!$B:$B,0),1)</f>
        <v>#N/A</v>
      </c>
      <c r="C9" s="3" t="str">
        <f>_xlfn.TEXTJOIN("-",FALSE,$D9,$J9,$K9)</f>
        <v>A3127479-A3127479-</v>
      </c>
      <c r="D9" s="2" t="s">
        <v>1059</v>
      </c>
      <c r="E9" s="2" t="s">
        <v>758</v>
      </c>
      <c r="F9" s="2" t="s">
        <v>44</v>
      </c>
      <c r="G9" s="2" t="s">
        <v>1060</v>
      </c>
      <c r="H9" s="2" t="s">
        <v>2328</v>
      </c>
      <c r="I9" s="2" t="s">
        <v>1061</v>
      </c>
      <c r="J9" s="2" t="s">
        <v>1059</v>
      </c>
      <c r="K9" s="2"/>
      <c r="L9" s="2" t="s">
        <v>2329</v>
      </c>
      <c r="M9" s="2" t="s">
        <v>758</v>
      </c>
      <c r="N9" s="2"/>
      <c r="O9" s="2" t="s">
        <v>44</v>
      </c>
      <c r="P9" s="2"/>
      <c r="Q9" s="2" t="s">
        <v>1060</v>
      </c>
      <c r="R9" s="2"/>
      <c r="S9" s="2"/>
      <c r="T9" s="2"/>
      <c r="U9" s="2" t="s">
        <v>2071</v>
      </c>
    </row>
    <row r="10" spans="1:21" hidden="1" x14ac:dyDescent="0.25">
      <c r="A10" s="3" t="str">
        <f>INDEX('Correg (V1)'!$B:$B,MATCH($C10,'Correg (V1)'!$B:$B,0),1)</f>
        <v>A3167958-A3167958-</v>
      </c>
      <c r="B10" s="3" t="str">
        <f>INDEX('Nueva (V11)'!$B:$B,MATCH($C10,'Nueva (V11)'!$B:$B,0),1)</f>
        <v>A3167958-A3167958-</v>
      </c>
      <c r="C10" s="3" t="str">
        <f>_xlfn.TEXTJOIN("-",FALSE,$D10,$J10,$K10)</f>
        <v>A3167958-A3167958-</v>
      </c>
      <c r="D10" s="2" t="s">
        <v>640</v>
      </c>
      <c r="E10" s="2" t="s">
        <v>68</v>
      </c>
      <c r="F10" s="2" t="s">
        <v>549</v>
      </c>
      <c r="G10" s="2" t="s">
        <v>12</v>
      </c>
      <c r="H10" s="2" t="s">
        <v>2163</v>
      </c>
      <c r="I10" s="2" t="s">
        <v>767</v>
      </c>
      <c r="J10" s="2" t="s">
        <v>640</v>
      </c>
      <c r="K10" s="2"/>
      <c r="L10" s="2" t="s">
        <v>2210</v>
      </c>
      <c r="M10" s="2" t="s">
        <v>68</v>
      </c>
      <c r="N10" s="2"/>
      <c r="O10" s="2" t="s">
        <v>549</v>
      </c>
      <c r="P10" s="2"/>
      <c r="Q10" s="2" t="s">
        <v>12</v>
      </c>
      <c r="R10" s="2"/>
      <c r="S10" s="2"/>
      <c r="T10" s="2"/>
      <c r="U10" s="2" t="s">
        <v>2083</v>
      </c>
    </row>
    <row r="11" spans="1:21" ht="30" hidden="1" x14ac:dyDescent="0.25">
      <c r="A11" s="3" t="str">
        <f>INDEX('Correg (V1)'!$B:$B,MATCH($C11,'Correg (V1)'!$B:$B,0),1)</f>
        <v>A3258905-A3258905-</v>
      </c>
      <c r="B11" s="3" t="str">
        <f>INDEX('Nueva (V11)'!$B:$B,MATCH($C11,'Nueva (V11)'!$B:$B,0),1)</f>
        <v>A3258905-A3258905-</v>
      </c>
      <c r="C11" s="3" t="str">
        <f>_xlfn.TEXTJOIN("-",FALSE,$D11,$J11,$K11)</f>
        <v>A3258905-A3258905-</v>
      </c>
      <c r="D11" s="2" t="s">
        <v>871</v>
      </c>
      <c r="E11" s="2" t="s">
        <v>467</v>
      </c>
      <c r="F11" s="2" t="s">
        <v>872</v>
      </c>
      <c r="G11" s="2" t="s">
        <v>873</v>
      </c>
      <c r="H11" s="2" t="s">
        <v>2241</v>
      </c>
      <c r="I11" s="2" t="s">
        <v>874</v>
      </c>
      <c r="J11" s="2" t="s">
        <v>871</v>
      </c>
      <c r="K11" s="2"/>
      <c r="L11" s="2" t="s">
        <v>2242</v>
      </c>
      <c r="M11" s="2" t="s">
        <v>467</v>
      </c>
      <c r="N11" s="2"/>
      <c r="O11" s="2" t="s">
        <v>872</v>
      </c>
      <c r="P11" s="2"/>
      <c r="Q11" s="2" t="s">
        <v>873</v>
      </c>
      <c r="R11" s="2"/>
      <c r="S11" s="2"/>
      <c r="T11" s="2"/>
      <c r="U11" s="2" t="s">
        <v>2080</v>
      </c>
    </row>
    <row r="12" spans="1:21" ht="30" hidden="1" x14ac:dyDescent="0.25">
      <c r="A12" s="3" t="str">
        <f>INDEX('Correg (V1)'!$B:$B,MATCH($C12,'Correg (V1)'!$B:$B,0),1)</f>
        <v>A3284599-A3284599-</v>
      </c>
      <c r="B12" s="3" t="e">
        <f>INDEX('Nueva (V11)'!$B:$B,MATCH($C12,'Nueva (V11)'!$B:$B,0),1)</f>
        <v>#N/A</v>
      </c>
      <c r="C12" s="3" t="str">
        <f>_xlfn.TEXTJOIN("-",FALSE,$D12,$J12,$K12)</f>
        <v>A3284599-A3284599-</v>
      </c>
      <c r="D12" s="2" t="s">
        <v>951</v>
      </c>
      <c r="E12" s="2" t="s">
        <v>952</v>
      </c>
      <c r="F12" s="2" t="s">
        <v>695</v>
      </c>
      <c r="G12" s="2" t="s">
        <v>700</v>
      </c>
      <c r="H12" s="2" t="s">
        <v>2273</v>
      </c>
      <c r="I12" s="2" t="s">
        <v>953</v>
      </c>
      <c r="J12" s="2" t="s">
        <v>951</v>
      </c>
      <c r="K12" s="2"/>
      <c r="L12" s="2" t="s">
        <v>2274</v>
      </c>
      <c r="M12" s="2" t="s">
        <v>952</v>
      </c>
      <c r="N12" s="2"/>
      <c r="O12" s="2" t="s">
        <v>695</v>
      </c>
      <c r="P12" s="2"/>
      <c r="Q12" s="2" t="s">
        <v>700</v>
      </c>
      <c r="R12" s="2"/>
      <c r="S12" s="2"/>
      <c r="T12" s="2"/>
      <c r="U12" s="2" t="s">
        <v>2038</v>
      </c>
    </row>
    <row r="13" spans="1:21" ht="30" hidden="1" x14ac:dyDescent="0.25">
      <c r="A13" s="3" t="str">
        <f>INDEX('Correg (V1)'!$B:$B,MATCH($C13,'Correg (V1)'!$B:$B,0),1)</f>
        <v>A3417212-A3417212-</v>
      </c>
      <c r="B13" s="3" t="str">
        <f>INDEX('Nueva (V11)'!$B:$B,MATCH($C13,'Nueva (V11)'!$B:$B,0),1)</f>
        <v>A3417212-A3417212-</v>
      </c>
      <c r="C13" s="3" t="str">
        <f>_xlfn.TEXTJOIN("-",FALSE,$D13,$J13,$K13)</f>
        <v>A3417212-A3417212-</v>
      </c>
      <c r="D13" s="2" t="s">
        <v>884</v>
      </c>
      <c r="E13" s="2" t="s">
        <v>758</v>
      </c>
      <c r="F13" s="2" t="s">
        <v>44</v>
      </c>
      <c r="G13" s="2" t="s">
        <v>861</v>
      </c>
      <c r="H13" s="2" t="s">
        <v>2246</v>
      </c>
      <c r="I13" s="2" t="s">
        <v>885</v>
      </c>
      <c r="J13" s="2" t="s">
        <v>884</v>
      </c>
      <c r="K13" s="2"/>
      <c r="L13" s="2" t="s">
        <v>2247</v>
      </c>
      <c r="M13" s="2" t="s">
        <v>758</v>
      </c>
      <c r="N13" s="2"/>
      <c r="O13" s="2" t="s">
        <v>44</v>
      </c>
      <c r="P13" s="2"/>
      <c r="Q13" s="2" t="s">
        <v>861</v>
      </c>
      <c r="R13" s="2"/>
      <c r="S13" s="2"/>
      <c r="T13" s="2"/>
      <c r="U13" s="2" t="s">
        <v>2080</v>
      </c>
    </row>
    <row r="14" spans="1:21" hidden="1" x14ac:dyDescent="0.25">
      <c r="A14" s="3" t="str">
        <f>INDEX('Correg (V1)'!$B:$B,MATCH($C14,'Correg (V1)'!$B:$B,0),1)</f>
        <v>A3485213-A3485213-</v>
      </c>
      <c r="B14" s="3" t="str">
        <f>INDEX('Nueva (V11)'!$B:$B,MATCH($C14,'Nueva (V11)'!$B:$B,0),1)</f>
        <v>A3485213-A3485213-</v>
      </c>
      <c r="C14" s="3" t="str">
        <f>_xlfn.TEXTJOIN("-",FALSE,$D14,$J14,$K14)</f>
        <v>A3485213-A3485213-</v>
      </c>
      <c r="D14" s="2" t="s">
        <v>685</v>
      </c>
      <c r="E14" s="2" t="s">
        <v>1</v>
      </c>
      <c r="F14" s="2" t="s">
        <v>686</v>
      </c>
      <c r="G14" s="2" t="s">
        <v>687</v>
      </c>
      <c r="H14" s="2" t="s">
        <v>2178</v>
      </c>
      <c r="I14" s="2" t="s">
        <v>688</v>
      </c>
      <c r="J14" s="2" t="s">
        <v>685</v>
      </c>
      <c r="K14" s="2"/>
      <c r="L14" s="2" t="s">
        <v>2179</v>
      </c>
      <c r="M14" s="2" t="s">
        <v>1</v>
      </c>
      <c r="N14" s="2"/>
      <c r="O14" s="2" t="s">
        <v>686</v>
      </c>
      <c r="P14" s="2"/>
      <c r="Q14" s="2" t="s">
        <v>687</v>
      </c>
      <c r="R14" s="2"/>
      <c r="S14" s="2"/>
      <c r="T14" s="2"/>
      <c r="U14" s="2" t="s">
        <v>2038</v>
      </c>
    </row>
    <row r="15" spans="1:21" hidden="1" x14ac:dyDescent="0.25">
      <c r="A15" s="3" t="str">
        <f>INDEX('Correg (V1)'!$B:$B,MATCH($C15,'Correg (V1)'!$B:$B,0),1)</f>
        <v>A3575764--J6399199</v>
      </c>
      <c r="B15" s="3" t="e">
        <f>INDEX('Nueva (V11)'!$B:$B,MATCH($C15,'Nueva (V11)'!$B:$B,0),1)</f>
        <v>#N/A</v>
      </c>
      <c r="C15" s="3" t="str">
        <f>_xlfn.TEXTJOIN("-",FALSE,$D15,$J15,$K15)</f>
        <v>A3575764--J6399199</v>
      </c>
      <c r="D15" s="2" t="s">
        <v>676</v>
      </c>
      <c r="E15" s="2" t="s">
        <v>68</v>
      </c>
      <c r="F15" s="2" t="s">
        <v>677</v>
      </c>
      <c r="G15" s="2" t="s">
        <v>677</v>
      </c>
      <c r="H15" s="2" t="s">
        <v>2175</v>
      </c>
      <c r="I15" s="2" t="s">
        <v>972</v>
      </c>
      <c r="J15" s="2"/>
      <c r="K15" s="2" t="s">
        <v>775</v>
      </c>
      <c r="L15" s="2" t="s">
        <v>2213</v>
      </c>
      <c r="M15" s="2"/>
      <c r="N15" s="2" t="s">
        <v>776</v>
      </c>
      <c r="O15" s="2"/>
      <c r="P15" s="2" t="s">
        <v>777</v>
      </c>
      <c r="Q15" s="2"/>
      <c r="R15" s="2" t="s">
        <v>778</v>
      </c>
      <c r="S15" s="2"/>
      <c r="T15" s="2"/>
      <c r="U15" s="2" t="s">
        <v>2083</v>
      </c>
    </row>
    <row r="16" spans="1:21" ht="45" hidden="1" x14ac:dyDescent="0.25">
      <c r="A16" s="3" t="str">
        <f>INDEX('Correg (V1)'!$B:$B,MATCH($C16,'Correg (V1)'!$B:$B,0),1)</f>
        <v>A4260911-A4260911-</v>
      </c>
      <c r="B16" s="3" t="e">
        <f>INDEX('Nueva (V11)'!$B:$B,MATCH($C16,'Nueva (V11)'!$B:$B,0),1)</f>
        <v>#N/A</v>
      </c>
      <c r="C16" s="3" t="str">
        <f>_xlfn.TEXTJOIN("-",FALSE,$D16,$J16,$K16)</f>
        <v>A4260911-A4260911-</v>
      </c>
      <c r="D16" s="2" t="s">
        <v>980</v>
      </c>
      <c r="E16" s="2" t="s">
        <v>981</v>
      </c>
      <c r="F16" s="2" t="s">
        <v>982</v>
      </c>
      <c r="G16" s="2" t="s">
        <v>983</v>
      </c>
      <c r="H16" s="2" t="s">
        <v>2288</v>
      </c>
      <c r="I16" s="2" t="s">
        <v>984</v>
      </c>
      <c r="J16" s="2" t="s">
        <v>980</v>
      </c>
      <c r="K16" s="2"/>
      <c r="L16" s="2" t="s">
        <v>2289</v>
      </c>
      <c r="M16" s="2" t="s">
        <v>981</v>
      </c>
      <c r="N16" s="2"/>
      <c r="O16" s="2" t="s">
        <v>982</v>
      </c>
      <c r="P16" s="2"/>
      <c r="Q16" s="2" t="s">
        <v>983</v>
      </c>
      <c r="R16" s="2"/>
      <c r="S16" s="2"/>
      <c r="T16" s="2"/>
      <c r="U16" s="2" t="s">
        <v>2038</v>
      </c>
    </row>
    <row r="17" spans="1:21" hidden="1" x14ac:dyDescent="0.25">
      <c r="A17" s="3" t="str">
        <f>INDEX('Correg (V1)'!$B:$B,MATCH($C17,'Correg (V1)'!$B:$B,0),1)</f>
        <v>A4544160--Y3223618</v>
      </c>
      <c r="B17" s="3" t="str">
        <f>INDEX('Nueva (V11)'!$B:$B,MATCH($C17,'Nueva (V11)'!$B:$B,0),1)</f>
        <v>A4544160--Y3223618</v>
      </c>
      <c r="C17" s="3" t="str">
        <f>_xlfn.TEXTJOIN("-",FALSE,$D17,$J17,$K17)</f>
        <v>A4544160--Y3223618</v>
      </c>
      <c r="D17" s="2" t="s">
        <v>894</v>
      </c>
      <c r="E17" s="2" t="s">
        <v>68</v>
      </c>
      <c r="F17" s="2" t="s">
        <v>895</v>
      </c>
      <c r="G17" s="2" t="s">
        <v>896</v>
      </c>
      <c r="H17" s="2" t="s">
        <v>2251</v>
      </c>
      <c r="I17" s="2" t="s">
        <v>2251</v>
      </c>
      <c r="J17" s="2"/>
      <c r="K17" s="2" t="s">
        <v>897</v>
      </c>
      <c r="L17" s="2" t="s">
        <v>2252</v>
      </c>
      <c r="M17" s="2"/>
      <c r="N17" s="2" t="s">
        <v>898</v>
      </c>
      <c r="O17" s="2"/>
      <c r="P17" s="2" t="s">
        <v>899</v>
      </c>
      <c r="Q17" s="2"/>
      <c r="R17" s="2" t="s">
        <v>900</v>
      </c>
      <c r="S17" s="2"/>
      <c r="T17" s="2"/>
      <c r="U17" s="2" t="s">
        <v>2083</v>
      </c>
    </row>
    <row r="18" spans="1:21" hidden="1" x14ac:dyDescent="0.25">
      <c r="A18" s="5" t="e">
        <f>INDEX('Correg (V1)'!$B:$B,MATCH($C18,'Correg (V1)'!$B:$B,0),1)</f>
        <v>#N/A</v>
      </c>
      <c r="B18" s="3" t="e">
        <f>INDEX('Nueva (V11)'!$B:$B,MATCH($C18,'Nueva (V11)'!$B:$B,0),1)</f>
        <v>#N/A</v>
      </c>
      <c r="C18" s="3" t="str">
        <f>_xlfn.TEXTJOIN("-",FALSE,$D18,$J18,$K18)</f>
        <v>A4598195-A4598195-</v>
      </c>
      <c r="D18" s="2" t="s">
        <v>814</v>
      </c>
      <c r="E18" s="2" t="s">
        <v>815</v>
      </c>
      <c r="F18" s="2" t="s">
        <v>816</v>
      </c>
      <c r="G18" s="2" t="s">
        <v>817</v>
      </c>
      <c r="H18" s="2" t="s">
        <v>2226</v>
      </c>
      <c r="I18" s="2" t="s">
        <v>818</v>
      </c>
      <c r="J18" s="2" t="s">
        <v>814</v>
      </c>
      <c r="K18" s="2"/>
      <c r="L18" s="2" t="s">
        <v>2227</v>
      </c>
      <c r="M18" s="2" t="s">
        <v>815</v>
      </c>
      <c r="N18" s="2"/>
      <c r="O18" s="2" t="s">
        <v>816</v>
      </c>
      <c r="P18" s="2"/>
      <c r="Q18" s="2" t="s">
        <v>817</v>
      </c>
      <c r="R18" s="2"/>
      <c r="S18" s="2"/>
      <c r="T18" s="2"/>
      <c r="U18" s="2" t="s">
        <v>2080</v>
      </c>
    </row>
    <row r="19" spans="1:21" hidden="1" x14ac:dyDescent="0.25">
      <c r="A19" s="3" t="str">
        <f>INDEX('Correg (V1)'!$B:$B,MATCH($C19,'Correg (V1)'!$B:$B,0),1)</f>
        <v>A4769333--J1842217</v>
      </c>
      <c r="B19" s="3" t="e">
        <f>INDEX('Nueva (V11)'!$B:$B,MATCH($C19,'Nueva (V11)'!$B:$B,0),1)</f>
        <v>#N/A</v>
      </c>
      <c r="C19" s="3" t="str">
        <f>_xlfn.TEXTJOIN("-",FALSE,$D19,$J19,$K19)</f>
        <v>A4769333--J1842217</v>
      </c>
      <c r="D19" s="2" t="s">
        <v>945</v>
      </c>
      <c r="E19" s="2" t="s">
        <v>933</v>
      </c>
      <c r="F19" s="2" t="s">
        <v>21</v>
      </c>
      <c r="G19" s="2" t="s">
        <v>946</v>
      </c>
      <c r="H19" s="2" t="s">
        <v>2270</v>
      </c>
      <c r="I19" s="2" t="s">
        <v>613</v>
      </c>
      <c r="J19" s="2"/>
      <c r="K19" s="2" t="s">
        <v>457</v>
      </c>
      <c r="L19" s="2" t="s">
        <v>2087</v>
      </c>
      <c r="M19" s="2"/>
      <c r="N19" s="2" t="s">
        <v>458</v>
      </c>
      <c r="O19" s="2"/>
      <c r="P19" s="2" t="s">
        <v>459</v>
      </c>
      <c r="Q19" s="2"/>
      <c r="R19" s="2" t="s">
        <v>460</v>
      </c>
      <c r="S19" s="2"/>
      <c r="T19" s="2"/>
      <c r="U19" s="2" t="s">
        <v>2083</v>
      </c>
    </row>
    <row r="20" spans="1:21" hidden="1" x14ac:dyDescent="0.25">
      <c r="A20" s="5" t="e">
        <f>INDEX('Correg (V1)'!$B:$B,MATCH($C20,'Correg (V1)'!$B:$B,0),1)</f>
        <v>#N/A</v>
      </c>
      <c r="B20" s="3" t="e">
        <f>INDEX('Nueva (V11)'!$B:$B,MATCH($C20,'Nueva (V11)'!$B:$B,0),1)</f>
        <v>#N/A</v>
      </c>
      <c r="C20" s="3" t="str">
        <f>_xlfn.TEXTJOIN("-",FALSE,$D20,$J20,$K20)</f>
        <v>A5336853-A5336853-</v>
      </c>
      <c r="D20" s="2" t="s">
        <v>67</v>
      </c>
      <c r="E20" s="2" t="s">
        <v>68</v>
      </c>
      <c r="F20" s="2" t="s">
        <v>69</v>
      </c>
      <c r="G20" s="2" t="s">
        <v>70</v>
      </c>
      <c r="H20" s="2" t="s">
        <v>2061</v>
      </c>
      <c r="I20" s="2" t="s">
        <v>71</v>
      </c>
      <c r="J20" s="2" t="s">
        <v>67</v>
      </c>
      <c r="K20" s="2"/>
      <c r="L20" s="2" t="s">
        <v>2062</v>
      </c>
      <c r="M20" s="2" t="s">
        <v>68</v>
      </c>
      <c r="N20" s="2"/>
      <c r="O20" s="2" t="s">
        <v>69</v>
      </c>
      <c r="P20" s="2"/>
      <c r="Q20" s="2" t="s">
        <v>70</v>
      </c>
      <c r="R20" s="2"/>
      <c r="S20" s="2"/>
      <c r="T20" s="2"/>
      <c r="U20" s="2" t="s">
        <v>47</v>
      </c>
    </row>
    <row r="21" spans="1:21" hidden="1" x14ac:dyDescent="0.25">
      <c r="A21" s="3" t="str">
        <f>INDEX('Correg (V1)'!$B:$B,MATCH($C21,'Correg (V1)'!$B:$B,0),1)</f>
        <v>A5358571-A5358571-</v>
      </c>
      <c r="B21" s="3" t="e">
        <f>INDEX('Nueva (V11)'!$B:$B,MATCH($C21,'Nueva (V11)'!$B:$B,0),1)</f>
        <v>#N/A</v>
      </c>
      <c r="C21" s="3" t="str">
        <f>_xlfn.TEXTJOIN("-",FALSE,$D21,$J21,$K21)</f>
        <v>A5358571-A5358571-</v>
      </c>
      <c r="D21" s="2" t="s">
        <v>1055</v>
      </c>
      <c r="E21" s="2" t="s">
        <v>1056</v>
      </c>
      <c r="F21" s="2" t="s">
        <v>1057</v>
      </c>
      <c r="G21" s="2" t="s">
        <v>535</v>
      </c>
      <c r="H21" s="2" t="s">
        <v>2326</v>
      </c>
      <c r="I21" s="2" t="s">
        <v>1058</v>
      </c>
      <c r="J21" s="2" t="s">
        <v>1055</v>
      </c>
      <c r="K21" s="2"/>
      <c r="L21" s="2" t="s">
        <v>2327</v>
      </c>
      <c r="M21" s="2" t="s">
        <v>1056</v>
      </c>
      <c r="N21" s="2"/>
      <c r="O21" s="2" t="s">
        <v>1057</v>
      </c>
      <c r="P21" s="2"/>
      <c r="Q21" s="2" t="s">
        <v>535</v>
      </c>
      <c r="R21" s="2"/>
      <c r="S21" s="2"/>
      <c r="T21" s="2"/>
      <c r="U21" s="2" t="s">
        <v>2071</v>
      </c>
    </row>
    <row r="22" spans="1:21" hidden="1" x14ac:dyDescent="0.25">
      <c r="A22" s="3" t="str">
        <f>INDEX('Correg (V1)'!$B:$B,MATCH($C22,'Correg (V1)'!$B:$B,0),1)</f>
        <v>A5709653-A5709653-</v>
      </c>
      <c r="B22" s="3" t="e">
        <f>INDEX('Nueva (V11)'!$B:$B,MATCH($C22,'Nueva (V11)'!$B:$B,0),1)</f>
        <v>#N/A</v>
      </c>
      <c r="C22" s="3" t="str">
        <f>_xlfn.TEXTJOIN("-",FALSE,$D22,$J22,$K22)</f>
        <v>A5709653-A5709653-</v>
      </c>
      <c r="D22" s="2" t="s">
        <v>973</v>
      </c>
      <c r="E22" s="2" t="s">
        <v>68</v>
      </c>
      <c r="F22" s="2" t="s">
        <v>974</v>
      </c>
      <c r="G22" s="2" t="s">
        <v>975</v>
      </c>
      <c r="H22" s="2" t="s">
        <v>2284</v>
      </c>
      <c r="I22" s="2" t="s">
        <v>976</v>
      </c>
      <c r="J22" s="2" t="s">
        <v>973</v>
      </c>
      <c r="K22" s="2"/>
      <c r="L22" s="2" t="s">
        <v>2285</v>
      </c>
      <c r="M22" s="2" t="s">
        <v>68</v>
      </c>
      <c r="N22" s="2"/>
      <c r="O22" s="2" t="s">
        <v>974</v>
      </c>
      <c r="P22" s="2"/>
      <c r="Q22" s="2" t="s">
        <v>975</v>
      </c>
      <c r="R22" s="2"/>
      <c r="S22" s="2"/>
      <c r="T22" s="2"/>
      <c r="U22" s="2" t="s">
        <v>2038</v>
      </c>
    </row>
    <row r="23" spans="1:21" ht="30" hidden="1" x14ac:dyDescent="0.25">
      <c r="A23" s="3" t="str">
        <f>INDEX('Correg (V1)'!$B:$B,MATCH($C23,'Correg (V1)'!$B:$B,0),1)</f>
        <v>A6553191--F7796330</v>
      </c>
      <c r="B23" s="3" t="e">
        <f>INDEX('Nueva (V11)'!$B:$B,MATCH($C23,'Nueva (V11)'!$B:$B,0),1)</f>
        <v>#N/A</v>
      </c>
      <c r="C23" s="3" t="str">
        <f>_xlfn.TEXTJOIN("-",FALSE,$D23,$J23,$K23)</f>
        <v>A6553191--F7796330</v>
      </c>
      <c r="D23" s="2" t="s">
        <v>1062</v>
      </c>
      <c r="E23" s="2" t="s">
        <v>1063</v>
      </c>
      <c r="F23" s="2" t="s">
        <v>1064</v>
      </c>
      <c r="G23" s="2" t="s">
        <v>691</v>
      </c>
      <c r="H23" s="2" t="s">
        <v>2330</v>
      </c>
      <c r="I23" s="2" t="s">
        <v>1065</v>
      </c>
      <c r="J23" s="2"/>
      <c r="K23" s="2" t="s">
        <v>527</v>
      </c>
      <c r="L23" s="2" t="s">
        <v>2117</v>
      </c>
      <c r="M23" s="2"/>
      <c r="N23" s="2" t="s">
        <v>38</v>
      </c>
      <c r="O23" s="2"/>
      <c r="P23" s="2" t="s">
        <v>528</v>
      </c>
      <c r="Q23" s="2"/>
      <c r="R23" s="2" t="s">
        <v>529</v>
      </c>
      <c r="S23" s="2"/>
      <c r="T23" s="2"/>
      <c r="U23" s="2" t="s">
        <v>2071</v>
      </c>
    </row>
    <row r="24" spans="1:21" ht="30" hidden="1" x14ac:dyDescent="0.25">
      <c r="A24" s="3" t="str">
        <f>INDEX('Correg (V1)'!$B:$B,MATCH($C24,'Correg (V1)'!$B:$B,0),1)</f>
        <v>A6556153-A6556153-</v>
      </c>
      <c r="B24" s="3" t="e">
        <f>INDEX('Nueva (V11)'!$B:$B,MATCH($C24,'Nueva (V11)'!$B:$B,0),1)</f>
        <v>#N/A</v>
      </c>
      <c r="C24" s="3" t="str">
        <f>_xlfn.TEXTJOIN("-",FALSE,$D24,$J24,$K24)</f>
        <v>A6556153-A6556153-</v>
      </c>
      <c r="D24" s="2" t="s">
        <v>14</v>
      </c>
      <c r="E24" s="2" t="s">
        <v>15</v>
      </c>
      <c r="F24" s="2" t="s">
        <v>16</v>
      </c>
      <c r="G24" s="2" t="s">
        <v>17</v>
      </c>
      <c r="H24" s="2" t="s">
        <v>2040</v>
      </c>
      <c r="I24" s="2" t="s">
        <v>1003</v>
      </c>
      <c r="J24" s="2" t="s">
        <v>14</v>
      </c>
      <c r="K24" s="2"/>
      <c r="L24" s="2" t="s">
        <v>2298</v>
      </c>
      <c r="M24" s="2" t="s">
        <v>15</v>
      </c>
      <c r="N24" s="2"/>
      <c r="O24" s="2" t="s">
        <v>16</v>
      </c>
      <c r="P24" s="2"/>
      <c r="Q24" s="2" t="s">
        <v>17</v>
      </c>
      <c r="R24" s="2"/>
      <c r="S24" s="2"/>
      <c r="T24" s="2"/>
      <c r="U24" s="2" t="s">
        <v>2041</v>
      </c>
    </row>
    <row r="25" spans="1:21" ht="30" hidden="1" x14ac:dyDescent="0.25">
      <c r="A25" s="3" t="str">
        <f>INDEX('Correg (V1)'!$B:$B,MATCH($C25,'Correg (V1)'!$B:$B,0),1)</f>
        <v>A6653585-A6653585-</v>
      </c>
      <c r="B25" s="3" t="str">
        <f>INDEX('Nueva (V11)'!$B:$B,MATCH($C25,'Nueva (V11)'!$B:$B,0),1)</f>
        <v>A6653585-A6653585-</v>
      </c>
      <c r="C25" s="3" t="str">
        <f>_xlfn.TEXTJOIN("-",FALSE,$D25,$J25,$K25)</f>
        <v>A6653585-A6653585-</v>
      </c>
      <c r="D25" s="2" t="s">
        <v>720</v>
      </c>
      <c r="E25" s="2" t="s">
        <v>68</v>
      </c>
      <c r="F25" s="2" t="s">
        <v>721</v>
      </c>
      <c r="G25" s="2" t="s">
        <v>722</v>
      </c>
      <c r="H25" s="2" t="s">
        <v>2192</v>
      </c>
      <c r="I25" s="2" t="s">
        <v>723</v>
      </c>
      <c r="J25" s="2" t="s">
        <v>720</v>
      </c>
      <c r="K25" s="2"/>
      <c r="L25" s="2" t="s">
        <v>2193</v>
      </c>
      <c r="M25" s="2" t="s">
        <v>68</v>
      </c>
      <c r="N25" s="2"/>
      <c r="O25" s="2" t="s">
        <v>721</v>
      </c>
      <c r="P25" s="2"/>
      <c r="Q25" s="2" t="s">
        <v>722</v>
      </c>
      <c r="R25" s="2"/>
      <c r="S25" s="2"/>
      <c r="T25" s="2"/>
      <c r="U25" s="2" t="s">
        <v>2038</v>
      </c>
    </row>
    <row r="26" spans="1:21" ht="30" hidden="1" x14ac:dyDescent="0.25">
      <c r="A26" s="3" t="str">
        <f>INDEX('Correg (V1)'!$B:$B,MATCH($C26,'Correg (V1)'!$B:$B,0),1)</f>
        <v>A6687307--R3817235</v>
      </c>
      <c r="B26" s="3" t="str">
        <f>INDEX('Nueva (V11)'!$B:$B,MATCH($C26,'Nueva (V11)'!$B:$B,0),1)</f>
        <v>A6687307--R3817235</v>
      </c>
      <c r="C26" s="3" t="str">
        <f>_xlfn.TEXTJOIN("-",FALSE,$D26,$J26,$K26)</f>
        <v>A6687307--R3817235</v>
      </c>
      <c r="D26" s="2" t="s">
        <v>927</v>
      </c>
      <c r="E26" s="2" t="s">
        <v>68</v>
      </c>
      <c r="F26" s="2" t="s">
        <v>504</v>
      </c>
      <c r="G26" s="2" t="s">
        <v>493</v>
      </c>
      <c r="H26" s="2" t="s">
        <v>2263</v>
      </c>
      <c r="I26" s="2" t="s">
        <v>928</v>
      </c>
      <c r="J26" s="2"/>
      <c r="K26" s="2" t="s">
        <v>929</v>
      </c>
      <c r="L26" s="2" t="s">
        <v>2264</v>
      </c>
      <c r="M26" s="2"/>
      <c r="N26" s="2" t="s">
        <v>930</v>
      </c>
      <c r="O26" s="2"/>
      <c r="P26" s="2" t="s">
        <v>622</v>
      </c>
      <c r="Q26" s="2"/>
      <c r="R26" s="2" t="s">
        <v>931</v>
      </c>
      <c r="S26" s="2"/>
      <c r="T26" s="2"/>
      <c r="U26" s="2" t="s">
        <v>2083</v>
      </c>
    </row>
    <row r="27" spans="1:21" hidden="1" x14ac:dyDescent="0.25">
      <c r="A27" s="3" t="str">
        <f>INDEX('Correg (V1)'!$B:$B,MATCH($C27,'Correg (V1)'!$B:$B,0),1)</f>
        <v>A7005471--J6399199</v>
      </c>
      <c r="B27" s="3" t="str">
        <f>INDEX('Nueva (V11)'!$B:$B,MATCH($C27,'Nueva (V11)'!$B:$B,0),1)</f>
        <v>A7005471--J6399199</v>
      </c>
      <c r="C27" s="3" t="str">
        <f>_xlfn.TEXTJOIN("-",FALSE,$D27,$J27,$K27)</f>
        <v>A7005471--J6399199</v>
      </c>
      <c r="D27" s="2" t="s">
        <v>780</v>
      </c>
      <c r="E27" s="2" t="s">
        <v>781</v>
      </c>
      <c r="F27" s="2" t="s">
        <v>493</v>
      </c>
      <c r="G27" s="2" t="s">
        <v>74</v>
      </c>
      <c r="H27" s="2" t="s">
        <v>2215</v>
      </c>
      <c r="I27" s="2" t="s">
        <v>693</v>
      </c>
      <c r="J27" s="2"/>
      <c r="K27" s="2" t="s">
        <v>775</v>
      </c>
      <c r="L27" s="2" t="s">
        <v>2213</v>
      </c>
      <c r="M27" s="2"/>
      <c r="N27" s="2" t="s">
        <v>776</v>
      </c>
      <c r="O27" s="2"/>
      <c r="P27" s="2" t="s">
        <v>777</v>
      </c>
      <c r="Q27" s="2"/>
      <c r="R27" s="2" t="s">
        <v>778</v>
      </c>
      <c r="S27" s="2"/>
      <c r="T27" s="2"/>
      <c r="U27" s="2" t="s">
        <v>2083</v>
      </c>
    </row>
    <row r="28" spans="1:21" ht="30" hidden="1" x14ac:dyDescent="0.25">
      <c r="A28" s="3" t="str">
        <f>INDEX('Correg (V1)'!$B:$B,MATCH($C28,'Correg (V1)'!$B:$B,0),1)</f>
        <v>A7527556--A2422013</v>
      </c>
      <c r="B28" s="3" t="e">
        <f>INDEX('Nueva (V11)'!$B:$B,MATCH($C28,'Nueva (V11)'!$B:$B,0),1)</f>
        <v>#N/A</v>
      </c>
      <c r="C28" s="3" t="str">
        <f>_xlfn.TEXTJOIN("-",FALSE,$D28,$J28,$K28)</f>
        <v>A7527556--A2422013</v>
      </c>
      <c r="D28" s="2" t="s">
        <v>923</v>
      </c>
      <c r="E28" s="2" t="s">
        <v>924</v>
      </c>
      <c r="F28" s="2" t="s">
        <v>925</v>
      </c>
      <c r="G28" s="2" t="s">
        <v>926</v>
      </c>
      <c r="H28" s="2" t="s">
        <v>2262</v>
      </c>
      <c r="I28" s="2" t="s">
        <v>985</v>
      </c>
      <c r="J28" s="2"/>
      <c r="K28" s="2" t="s">
        <v>575</v>
      </c>
      <c r="L28" s="2" t="s">
        <v>2138</v>
      </c>
      <c r="M28" s="2"/>
      <c r="N28" s="2" t="s">
        <v>576</v>
      </c>
      <c r="O28" s="2"/>
      <c r="P28" s="2" t="s">
        <v>577</v>
      </c>
      <c r="Q28" s="2"/>
      <c r="R28" s="2" t="s">
        <v>578</v>
      </c>
      <c r="S28" s="2"/>
      <c r="T28" s="2"/>
      <c r="U28" s="2" t="s">
        <v>2083</v>
      </c>
    </row>
    <row r="29" spans="1:21" hidden="1" x14ac:dyDescent="0.25">
      <c r="A29" s="3" t="str">
        <f>INDEX('Correg (V1)'!$B:$B,MATCH($C29,'Correg (V1)'!$B:$B,0),1)</f>
        <v>A8353376--M3569866</v>
      </c>
      <c r="B29" s="3" t="str">
        <f>INDEX('Nueva (V11)'!$B:$B,MATCH($C29,'Nueva (V11)'!$B:$B,0),1)</f>
        <v>A8353376--M3569866</v>
      </c>
      <c r="C29" s="3" t="str">
        <f>_xlfn.TEXTJOIN("-",FALSE,$D29,$J29,$K29)</f>
        <v>A8353376--M3569866</v>
      </c>
      <c r="D29" s="2" t="s">
        <v>0</v>
      </c>
      <c r="E29" s="2" t="s">
        <v>1</v>
      </c>
      <c r="F29" s="2" t="s">
        <v>2</v>
      </c>
      <c r="G29" s="2" t="s">
        <v>3</v>
      </c>
      <c r="H29" s="2" t="s">
        <v>2036</v>
      </c>
      <c r="I29" s="2" t="s">
        <v>4</v>
      </c>
      <c r="J29" s="2"/>
      <c r="K29" s="2" t="s">
        <v>5</v>
      </c>
      <c r="L29" s="2" t="s">
        <v>2037</v>
      </c>
      <c r="M29" s="2"/>
      <c r="N29" s="2" t="s">
        <v>6</v>
      </c>
      <c r="O29" s="2"/>
      <c r="P29" s="2" t="s">
        <v>7</v>
      </c>
      <c r="Q29" s="2"/>
      <c r="R29" s="2" t="s">
        <v>8</v>
      </c>
      <c r="S29" s="2"/>
      <c r="T29" s="2"/>
      <c r="U29" s="2" t="s">
        <v>2038</v>
      </c>
    </row>
    <row r="30" spans="1:21" hidden="1" x14ac:dyDescent="0.25">
      <c r="A30" s="3" t="str">
        <f>INDEX('Correg (V1)'!$B:$B,MATCH($C30,'Correg (V1)'!$B:$B,0),1)</f>
        <v>A8361287--I8301604</v>
      </c>
      <c r="B30" s="3" t="e">
        <f>INDEX('Nueva (V11)'!$B:$B,MATCH($C30,'Nueva (V11)'!$B:$B,0),1)</f>
        <v>#N/A</v>
      </c>
      <c r="C30" s="3" t="str">
        <f>_xlfn.TEXTJOIN("-",FALSE,$D30,$J30,$K30)</f>
        <v>A8361287--I8301604</v>
      </c>
      <c r="D30" s="2" t="s">
        <v>932</v>
      </c>
      <c r="E30" s="2" t="s">
        <v>933</v>
      </c>
      <c r="F30" s="2" t="s">
        <v>29</v>
      </c>
      <c r="G30" s="2" t="s">
        <v>105</v>
      </c>
      <c r="H30" s="2" t="s">
        <v>2265</v>
      </c>
      <c r="I30" s="2" t="s">
        <v>934</v>
      </c>
      <c r="J30" s="2"/>
      <c r="K30" s="2" t="s">
        <v>72</v>
      </c>
      <c r="L30" s="2" t="s">
        <v>2063</v>
      </c>
      <c r="M30" s="2"/>
      <c r="N30" s="2" t="s">
        <v>73</v>
      </c>
      <c r="O30" s="2"/>
      <c r="P30" s="2" t="s">
        <v>74</v>
      </c>
      <c r="Q30" s="2"/>
      <c r="R30" s="2" t="s">
        <v>8</v>
      </c>
      <c r="S30" s="2"/>
      <c r="T30" s="2"/>
      <c r="U30" s="2" t="s">
        <v>2038</v>
      </c>
    </row>
    <row r="31" spans="1:21" hidden="1" x14ac:dyDescent="0.25">
      <c r="A31" s="3" t="str">
        <f>INDEX('Correg (V1)'!$B:$B,MATCH($C31,'Correg (V1)'!$B:$B,0),1)</f>
        <v>A9859396--J6399199</v>
      </c>
      <c r="B31" s="3" t="str">
        <f>INDEX('Nueva (V11)'!$B:$B,MATCH($C31,'Nueva (V11)'!$B:$B,0),1)</f>
        <v>A9859396--J6399199</v>
      </c>
      <c r="C31" s="3" t="str">
        <f>_xlfn.TEXTJOIN("-",FALSE,$D31,$J31,$K31)</f>
        <v>A9859396--J6399199</v>
      </c>
      <c r="D31" s="2" t="s">
        <v>911</v>
      </c>
      <c r="E31" s="2" t="s">
        <v>912</v>
      </c>
      <c r="F31" s="2" t="s">
        <v>913</v>
      </c>
      <c r="G31" s="2" t="s">
        <v>30</v>
      </c>
      <c r="H31" s="2" t="s">
        <v>2257</v>
      </c>
      <c r="I31" s="2" t="s">
        <v>914</v>
      </c>
      <c r="J31" s="2"/>
      <c r="K31" s="2" t="s">
        <v>775</v>
      </c>
      <c r="L31" s="2" t="s">
        <v>2213</v>
      </c>
      <c r="M31" s="2"/>
      <c r="N31" s="2" t="s">
        <v>776</v>
      </c>
      <c r="O31" s="2"/>
      <c r="P31" s="2" t="s">
        <v>777</v>
      </c>
      <c r="Q31" s="2"/>
      <c r="R31" s="2" t="s">
        <v>778</v>
      </c>
      <c r="S31" s="2"/>
      <c r="T31" s="2"/>
      <c r="U31" s="2" t="s">
        <v>2083</v>
      </c>
    </row>
    <row r="32" spans="1:21" hidden="1" x14ac:dyDescent="0.25">
      <c r="A32" s="3" t="str">
        <f>INDEX('Correg (V1)'!$B:$B,MATCH($C32,'Correg (V1)'!$B:$B,0),1)</f>
        <v>A9899465-A9899465-</v>
      </c>
      <c r="B32" s="3" t="e">
        <f>INDEX('Nueva (V11)'!$B:$B,MATCH($C32,'Nueva (V11)'!$B:$B,0),1)</f>
        <v>#N/A</v>
      </c>
      <c r="C32" s="3" t="str">
        <f>_xlfn.TEXTJOIN("-",FALSE,$D32,$J32,$K32)</f>
        <v>A9899465-A9899465-</v>
      </c>
      <c r="D32" s="2" t="s">
        <v>1066</v>
      </c>
      <c r="E32" s="2" t="s">
        <v>758</v>
      </c>
      <c r="F32" s="2" t="s">
        <v>691</v>
      </c>
      <c r="G32" s="2" t="s">
        <v>29</v>
      </c>
      <c r="H32" s="2" t="s">
        <v>2331</v>
      </c>
      <c r="I32" s="2" t="s">
        <v>1067</v>
      </c>
      <c r="J32" s="2" t="s">
        <v>1066</v>
      </c>
      <c r="K32" s="2"/>
      <c r="L32" s="2" t="s">
        <v>2332</v>
      </c>
      <c r="M32" s="2" t="s">
        <v>758</v>
      </c>
      <c r="N32" s="2"/>
      <c r="O32" s="2" t="s">
        <v>691</v>
      </c>
      <c r="P32" s="2"/>
      <c r="Q32" s="2" t="s">
        <v>29</v>
      </c>
      <c r="R32" s="2"/>
      <c r="S32" s="2"/>
      <c r="T32" s="2"/>
      <c r="U32" s="2" t="s">
        <v>2071</v>
      </c>
    </row>
    <row r="33" spans="1:21" ht="30" hidden="1" x14ac:dyDescent="0.25">
      <c r="A33" s="3" t="str">
        <f>INDEX('Correg (V1)'!$B:$B,MATCH($C33,'Correg (V1)'!$B:$B,0),1)</f>
        <v>B4736339-B4736339-</v>
      </c>
      <c r="B33" s="3" t="e">
        <f>INDEX('Nueva (V11)'!$B:$B,MATCH($C33,'Nueva (V11)'!$B:$B,0),1)</f>
        <v>#N/A</v>
      </c>
      <c r="C33" s="3" t="str">
        <f>_xlfn.TEXTJOIN("-",FALSE,$D33,$J33,$K33)</f>
        <v>B4736339-B4736339-</v>
      </c>
      <c r="D33" s="2" t="s">
        <v>1015</v>
      </c>
      <c r="E33" s="2" t="s">
        <v>1016</v>
      </c>
      <c r="F33" s="2" t="s">
        <v>1017</v>
      </c>
      <c r="G33" s="2" t="s">
        <v>1018</v>
      </c>
      <c r="H33" s="2" t="s">
        <v>2305</v>
      </c>
      <c r="I33" s="2" t="s">
        <v>1019</v>
      </c>
      <c r="J33" s="2" t="s">
        <v>1015</v>
      </c>
      <c r="K33" s="2"/>
      <c r="L33" s="2" t="s">
        <v>2306</v>
      </c>
      <c r="M33" s="2" t="s">
        <v>1016</v>
      </c>
      <c r="N33" s="2"/>
      <c r="O33" s="2" t="s">
        <v>1017</v>
      </c>
      <c r="P33" s="2"/>
      <c r="Q33" s="2" t="s">
        <v>1018</v>
      </c>
      <c r="R33" s="2"/>
      <c r="S33" s="2"/>
      <c r="T33" s="2"/>
      <c r="U33" s="2" t="s">
        <v>2041</v>
      </c>
    </row>
    <row r="34" spans="1:21" hidden="1" x14ac:dyDescent="0.25">
      <c r="A34" s="3" t="str">
        <f>INDEX('Correg (V1)'!$B:$B,MATCH($C34,'Correg (V1)'!$B:$B,0),1)</f>
        <v>C0100439-C0100439-</v>
      </c>
      <c r="B34" s="3" t="str">
        <f>INDEX('Nueva (V11)'!$B:$B,MATCH($C34,'Nueva (V11)'!$B:$B,0),1)</f>
        <v>C0100439-C0100439-</v>
      </c>
      <c r="C34" s="3" t="str">
        <f>_xlfn.TEXTJOIN("-",FALSE,$D34,$J34,$K34)</f>
        <v>C0100439-C0100439-</v>
      </c>
      <c r="D34" s="2" t="s">
        <v>461</v>
      </c>
      <c r="E34" s="2" t="s">
        <v>462</v>
      </c>
      <c r="F34" s="2" t="s">
        <v>463</v>
      </c>
      <c r="G34" s="2" t="s">
        <v>464</v>
      </c>
      <c r="H34" s="2" t="s">
        <v>2088</v>
      </c>
      <c r="I34" s="2" t="s">
        <v>465</v>
      </c>
      <c r="J34" s="2" t="s">
        <v>461</v>
      </c>
      <c r="K34" s="2"/>
      <c r="L34" s="2" t="s">
        <v>2089</v>
      </c>
      <c r="M34" s="2" t="s">
        <v>462</v>
      </c>
      <c r="N34" s="2"/>
      <c r="O34" s="2" t="s">
        <v>463</v>
      </c>
      <c r="P34" s="2"/>
      <c r="Q34" s="2" t="s">
        <v>464</v>
      </c>
      <c r="R34" s="2"/>
      <c r="S34" s="2"/>
      <c r="T34" s="2"/>
      <c r="U34" s="2" t="s">
        <v>47</v>
      </c>
    </row>
    <row r="35" spans="1:21" ht="45" hidden="1" x14ac:dyDescent="0.25">
      <c r="A35" s="3" t="str">
        <f>INDEX('Correg (V1)'!$B:$B,MATCH($C35,'Correg (V1)'!$B:$B,0),1)</f>
        <v>C7169588-C7169588-</v>
      </c>
      <c r="B35" s="3" t="str">
        <f>INDEX('Nueva (V11)'!$B:$B,MATCH($C35,'Nueva (V11)'!$B:$B,0),1)</f>
        <v>C7169588-C7169588-</v>
      </c>
      <c r="C35" s="3" t="str">
        <f>_xlfn.TEXTJOIN("-",FALSE,$D35,$J35,$K35)</f>
        <v>C7169588-C7169588-</v>
      </c>
      <c r="D35" s="2" t="s">
        <v>920</v>
      </c>
      <c r="E35" s="2" t="s">
        <v>49</v>
      </c>
      <c r="F35" s="2" t="s">
        <v>8</v>
      </c>
      <c r="G35" s="2" t="s">
        <v>29</v>
      </c>
      <c r="H35" s="2" t="s">
        <v>2259</v>
      </c>
      <c r="I35" s="2" t="s">
        <v>921</v>
      </c>
      <c r="J35" s="2" t="s">
        <v>920</v>
      </c>
      <c r="K35" s="2"/>
      <c r="L35" s="2" t="s">
        <v>2260</v>
      </c>
      <c r="M35" s="2" t="s">
        <v>49</v>
      </c>
      <c r="N35" s="2"/>
      <c r="O35" s="2" t="s">
        <v>8</v>
      </c>
      <c r="P35" s="2"/>
      <c r="Q35" s="2" t="s">
        <v>29</v>
      </c>
      <c r="R35" s="2"/>
      <c r="S35" s="2"/>
      <c r="T35" s="2"/>
      <c r="U35" s="2" t="s">
        <v>2041</v>
      </c>
    </row>
    <row r="36" spans="1:21" ht="30" hidden="1" x14ac:dyDescent="0.25">
      <c r="A36" s="3" t="str">
        <f>INDEX('Correg (V1)'!$B:$B,MATCH($C36,'Correg (V1)'!$B:$B,0),1)</f>
        <v>C9446654--J6399199</v>
      </c>
      <c r="B36" s="3" t="str">
        <f>INDEX('Nueva (V11)'!$B:$B,MATCH($C36,'Nueva (V11)'!$B:$B,0),1)</f>
        <v>C9446654--J6399199</v>
      </c>
      <c r="C36" s="3" t="str">
        <f>_xlfn.TEXTJOIN("-",FALSE,$D36,$J36,$K36)</f>
        <v>C9446654--J6399199</v>
      </c>
      <c r="D36" s="2" t="s">
        <v>846</v>
      </c>
      <c r="E36" s="2" t="s">
        <v>847</v>
      </c>
      <c r="F36" s="2" t="s">
        <v>30</v>
      </c>
      <c r="G36" s="2" t="s">
        <v>848</v>
      </c>
      <c r="H36" s="2" t="s">
        <v>2234</v>
      </c>
      <c r="I36" s="2" t="s">
        <v>849</v>
      </c>
      <c r="J36" s="2"/>
      <c r="K36" s="2" t="s">
        <v>775</v>
      </c>
      <c r="L36" s="2" t="s">
        <v>2213</v>
      </c>
      <c r="M36" s="2"/>
      <c r="N36" s="2" t="s">
        <v>776</v>
      </c>
      <c r="O36" s="2"/>
      <c r="P36" s="2" t="s">
        <v>777</v>
      </c>
      <c r="Q36" s="2"/>
      <c r="R36" s="2" t="s">
        <v>778</v>
      </c>
      <c r="S36" s="2"/>
      <c r="T36" s="2"/>
      <c r="U36" s="2" t="s">
        <v>2083</v>
      </c>
    </row>
    <row r="37" spans="1:21" ht="45" hidden="1" x14ac:dyDescent="0.25">
      <c r="A37" s="3" t="str">
        <f>INDEX('Correg (V1)'!$B:$B,MATCH($C37,'Correg (V1)'!$B:$B,0),1)</f>
        <v>C9612177-C9612177-</v>
      </c>
      <c r="B37" s="3" t="str">
        <f>INDEX('Nueva (V11)'!$B:$B,MATCH($C37,'Nueva (V11)'!$B:$B,0),1)</f>
        <v>C9612177-C9612177-</v>
      </c>
      <c r="C37" s="3" t="str">
        <f>_xlfn.TEXTJOIN("-",FALSE,$D37,$J37,$K37)</f>
        <v>C9612177-C9612177-</v>
      </c>
      <c r="D37" s="2" t="s">
        <v>48</v>
      </c>
      <c r="E37" s="2" t="s">
        <v>49</v>
      </c>
      <c r="F37" s="2" t="s">
        <v>50</v>
      </c>
      <c r="G37" s="2" t="s">
        <v>51</v>
      </c>
      <c r="H37" s="2" t="s">
        <v>2053</v>
      </c>
      <c r="I37" s="2" t="s">
        <v>52</v>
      </c>
      <c r="J37" s="2" t="s">
        <v>48</v>
      </c>
      <c r="K37" s="2"/>
      <c r="L37" s="2" t="s">
        <v>2054</v>
      </c>
      <c r="M37" s="2" t="s">
        <v>49</v>
      </c>
      <c r="N37" s="2"/>
      <c r="O37" s="2" t="s">
        <v>50</v>
      </c>
      <c r="P37" s="2"/>
      <c r="Q37" s="2" t="s">
        <v>51</v>
      </c>
      <c r="R37" s="2"/>
      <c r="S37" s="2"/>
      <c r="T37" s="2"/>
      <c r="U37" s="2" t="s">
        <v>47</v>
      </c>
    </row>
    <row r="38" spans="1:21" hidden="1" x14ac:dyDescent="0.25">
      <c r="A38" s="3" t="str">
        <f>INDEX('Correg (V1)'!$B:$B,MATCH($C38,'Correg (V1)'!$B:$B,0),1)</f>
        <v>D0530111-D0530111-</v>
      </c>
      <c r="B38" s="3" t="str">
        <f>INDEX('Nueva (V11)'!$B:$B,MATCH($C38,'Nueva (V11)'!$B:$B,0),1)</f>
        <v>D0530111-D0530111-</v>
      </c>
      <c r="C38" s="3" t="str">
        <f>_xlfn.TEXTJOIN("-",FALSE,$D38,$J38,$K38)</f>
        <v>D0530111-D0530111-</v>
      </c>
      <c r="D38" s="2" t="s">
        <v>89</v>
      </c>
      <c r="E38" s="2" t="s">
        <v>90</v>
      </c>
      <c r="F38" s="2" t="s">
        <v>91</v>
      </c>
      <c r="G38" s="2" t="s">
        <v>92</v>
      </c>
      <c r="H38" s="2" t="s">
        <v>2069</v>
      </c>
      <c r="I38" s="2" t="s">
        <v>93</v>
      </c>
      <c r="J38" s="2" t="s">
        <v>89</v>
      </c>
      <c r="K38" s="2"/>
      <c r="L38" s="2" t="s">
        <v>2070</v>
      </c>
      <c r="M38" s="2" t="s">
        <v>90</v>
      </c>
      <c r="N38" s="2"/>
      <c r="O38" s="2" t="s">
        <v>91</v>
      </c>
      <c r="P38" s="2"/>
      <c r="Q38" s="2" t="s">
        <v>92</v>
      </c>
      <c r="R38" s="2"/>
      <c r="S38" s="2"/>
      <c r="T38" s="2"/>
      <c r="U38" s="2" t="s">
        <v>2071</v>
      </c>
    </row>
    <row r="39" spans="1:21" hidden="1" x14ac:dyDescent="0.25">
      <c r="A39" s="3" t="str">
        <f>INDEX('Correg (V1)'!$B:$B,MATCH($C39,'Correg (V1)'!$B:$B,0),1)</f>
        <v>D0601716--F6446981</v>
      </c>
      <c r="B39" s="3" t="e">
        <f>INDEX('Nueva (V11)'!$B:$B,MATCH($C39,'Nueva (V11)'!$B:$B,0),1)</f>
        <v>#N/A</v>
      </c>
      <c r="C39" s="3" t="str">
        <f>_xlfn.TEXTJOIN("-",FALSE,$D39,$J39,$K39)</f>
        <v>D0601716--F6446981</v>
      </c>
      <c r="D39" s="2" t="s">
        <v>1128</v>
      </c>
      <c r="E39" s="2" t="s">
        <v>725</v>
      </c>
      <c r="F39" s="2" t="s">
        <v>691</v>
      </c>
      <c r="G39" s="2" t="s">
        <v>1129</v>
      </c>
      <c r="H39" s="2" t="s">
        <v>2359</v>
      </c>
      <c r="I39" s="2" t="s">
        <v>2359</v>
      </c>
      <c r="J39" s="2"/>
      <c r="K39" s="2" t="s">
        <v>636</v>
      </c>
      <c r="L39" s="2" t="s">
        <v>2162</v>
      </c>
      <c r="M39" s="2"/>
      <c r="N39" s="2" t="s">
        <v>637</v>
      </c>
      <c r="O39" s="2"/>
      <c r="P39" s="2" t="s">
        <v>496</v>
      </c>
      <c r="Q39" s="2"/>
      <c r="R39" s="2" t="s">
        <v>638</v>
      </c>
      <c r="S39" s="2"/>
      <c r="T39" s="2"/>
      <c r="U39" s="2" t="s">
        <v>2083</v>
      </c>
    </row>
    <row r="40" spans="1:21" hidden="1" x14ac:dyDescent="0.25">
      <c r="A40" s="3" t="str">
        <f>INDEX('Correg (V1)'!$B:$B,MATCH($C40,'Correg (V1)'!$B:$B,0),1)</f>
        <v>D2301615-D2301615-</v>
      </c>
      <c r="B40" s="3" t="e">
        <f>INDEX('Nueva (V11)'!$B:$B,MATCH($C40,'Nueva (V11)'!$B:$B,0),1)</f>
        <v>#N/A</v>
      </c>
      <c r="C40" s="3" t="str">
        <f>_xlfn.TEXTJOIN("-",FALSE,$D40,$J40,$K40)</f>
        <v>D2301615-D2301615-</v>
      </c>
      <c r="D40" s="2" t="s">
        <v>1035</v>
      </c>
      <c r="E40" s="2" t="s">
        <v>90</v>
      </c>
      <c r="F40" s="2" t="s">
        <v>11</v>
      </c>
      <c r="G40" s="2" t="s">
        <v>96</v>
      </c>
      <c r="H40" s="2" t="s">
        <v>2313</v>
      </c>
      <c r="I40" s="2" t="s">
        <v>1036</v>
      </c>
      <c r="J40" s="2" t="s">
        <v>1035</v>
      </c>
      <c r="K40" s="2"/>
      <c r="L40" s="2" t="s">
        <v>2314</v>
      </c>
      <c r="M40" s="2" t="s">
        <v>90</v>
      </c>
      <c r="N40" s="2"/>
      <c r="O40" s="2" t="s">
        <v>11</v>
      </c>
      <c r="P40" s="2"/>
      <c r="Q40" s="2" t="s">
        <v>96</v>
      </c>
      <c r="R40" s="2"/>
      <c r="S40" s="2"/>
      <c r="T40" s="2"/>
      <c r="U40" s="2" t="s">
        <v>2038</v>
      </c>
    </row>
    <row r="41" spans="1:21" hidden="1" x14ac:dyDescent="0.25">
      <c r="A41" s="3" t="str">
        <f>INDEX('Correg (V1)'!$B:$B,MATCH($C41,'Correg (V1)'!$B:$B,0),1)</f>
        <v>D5004487--A3575764</v>
      </c>
      <c r="B41" s="3" t="str">
        <f>INDEX('Nueva (V11)'!$B:$B,MATCH($C41,'Nueva (V11)'!$B:$B,0),1)</f>
        <v>D5004487--A3575764</v>
      </c>
      <c r="C41" s="3" t="str">
        <f>_xlfn.TEXTJOIN("-",FALSE,$D41,$J41,$K41)</f>
        <v>D5004487--A3575764</v>
      </c>
      <c r="D41" s="2" t="s">
        <v>673</v>
      </c>
      <c r="E41" s="2" t="s">
        <v>90</v>
      </c>
      <c r="F41" s="2" t="s">
        <v>674</v>
      </c>
      <c r="G41" s="2" t="s">
        <v>675</v>
      </c>
      <c r="H41" s="2" t="s">
        <v>2174</v>
      </c>
      <c r="I41" s="2" t="s">
        <v>2174</v>
      </c>
      <c r="J41" s="2"/>
      <c r="K41" s="2" t="s">
        <v>676</v>
      </c>
      <c r="L41" s="2" t="s">
        <v>2175</v>
      </c>
      <c r="M41" s="2"/>
      <c r="N41" s="2" t="s">
        <v>68</v>
      </c>
      <c r="O41" s="2"/>
      <c r="P41" s="2" t="s">
        <v>677</v>
      </c>
      <c r="Q41" s="2"/>
      <c r="R41" s="2" t="s">
        <v>677</v>
      </c>
      <c r="S41" s="2"/>
      <c r="T41" s="2"/>
      <c r="U41" s="2" t="s">
        <v>2083</v>
      </c>
    </row>
    <row r="42" spans="1:21" ht="30" hidden="1" x14ac:dyDescent="0.25">
      <c r="A42" s="3" t="str">
        <f>INDEX('Correg (V1)'!$B:$B,MATCH($C42,'Correg (V1)'!$B:$B,0),1)</f>
        <v>D5989930--J5498073</v>
      </c>
      <c r="B42" s="3" t="e">
        <f>INDEX('Nueva (V11)'!$B:$B,MATCH($C42,'Nueva (V11)'!$B:$B,0),1)</f>
        <v>#N/A</v>
      </c>
      <c r="C42" s="3" t="str">
        <f>_xlfn.TEXTJOIN("-",FALSE,$D42,$J42,$K42)</f>
        <v>D5989930--J5498073</v>
      </c>
      <c r="D42" s="2" t="s">
        <v>1025</v>
      </c>
      <c r="E42" s="2" t="s">
        <v>725</v>
      </c>
      <c r="F42" s="2" t="s">
        <v>1026</v>
      </c>
      <c r="G42" s="2" t="s">
        <v>44</v>
      </c>
      <c r="H42" s="2" t="s">
        <v>2309</v>
      </c>
      <c r="I42" s="2" t="s">
        <v>1027</v>
      </c>
      <c r="J42" s="2"/>
      <c r="K42" s="2" t="s">
        <v>1028</v>
      </c>
      <c r="L42" s="2" t="s">
        <v>2310</v>
      </c>
      <c r="M42" s="2"/>
      <c r="N42" s="2" t="s">
        <v>1029</v>
      </c>
      <c r="O42" s="2"/>
      <c r="P42" s="2" t="s">
        <v>1030</v>
      </c>
      <c r="Q42" s="2"/>
      <c r="R42" s="2" t="s">
        <v>1031</v>
      </c>
      <c r="S42" s="2"/>
      <c r="T42" s="2"/>
      <c r="U42" s="2" t="s">
        <v>2038</v>
      </c>
    </row>
    <row r="43" spans="1:21" ht="30" hidden="1" x14ac:dyDescent="0.25">
      <c r="A43" s="3" t="str">
        <f>INDEX('Correg (V1)'!$B:$B,MATCH($C43,'Correg (V1)'!$B:$B,0),1)</f>
        <v>D6566115-D6566115-</v>
      </c>
      <c r="B43" s="3" t="e">
        <f>INDEX('Nueva (V11)'!$B:$B,MATCH($C43,'Nueva (V11)'!$B:$B,0),1)</f>
        <v>#N/A</v>
      </c>
      <c r="C43" s="3" t="str">
        <f>_xlfn.TEXTJOIN("-",FALSE,$D43,$J43,$K43)</f>
        <v>D6566115-D6566115-</v>
      </c>
      <c r="D43" s="2" t="s">
        <v>1084</v>
      </c>
      <c r="E43" s="2" t="s">
        <v>1085</v>
      </c>
      <c r="F43" s="2" t="s">
        <v>1086</v>
      </c>
      <c r="G43" s="2" t="s">
        <v>1087</v>
      </c>
      <c r="H43" s="2" t="s">
        <v>2340</v>
      </c>
      <c r="I43" s="2" t="s">
        <v>1088</v>
      </c>
      <c r="J43" s="2" t="s">
        <v>1084</v>
      </c>
      <c r="K43" s="2"/>
      <c r="L43" s="2" t="s">
        <v>2341</v>
      </c>
      <c r="M43" s="2" t="s">
        <v>1085</v>
      </c>
      <c r="N43" s="2"/>
      <c r="O43" s="2" t="s">
        <v>1086</v>
      </c>
      <c r="P43" s="2"/>
      <c r="Q43" s="2" t="s">
        <v>1087</v>
      </c>
      <c r="R43" s="2"/>
      <c r="S43" s="2"/>
      <c r="T43" s="2"/>
      <c r="U43" s="2" t="s">
        <v>2038</v>
      </c>
    </row>
    <row r="44" spans="1:21" ht="30" hidden="1" x14ac:dyDescent="0.25">
      <c r="A44" s="3" t="str">
        <f>INDEX('Correg (V1)'!$B:$B,MATCH($C44,'Correg (V1)'!$B:$B,0),1)</f>
        <v>D6725163--J5549918</v>
      </c>
      <c r="B44" s="3" t="str">
        <f>INDEX('Nueva (V11)'!$B:$B,MATCH($C44,'Nueva (V11)'!$B:$B,0),1)</f>
        <v>D6725163--J5549918</v>
      </c>
      <c r="C44" s="3" t="str">
        <f>_xlfn.TEXTJOIN("-",FALSE,$D44,$J44,$K44)</f>
        <v>D6725163--J5549918</v>
      </c>
      <c r="D44" s="2" t="s">
        <v>442</v>
      </c>
      <c r="E44" s="2" t="s">
        <v>90</v>
      </c>
      <c r="F44" s="2" t="s">
        <v>443</v>
      </c>
      <c r="G44" s="2" t="s">
        <v>444</v>
      </c>
      <c r="H44" s="2" t="s">
        <v>2081</v>
      </c>
      <c r="I44" s="2" t="s">
        <v>445</v>
      </c>
      <c r="J44" s="2"/>
      <c r="K44" s="2" t="s">
        <v>446</v>
      </c>
      <c r="L44" s="2" t="s">
        <v>2082</v>
      </c>
      <c r="M44" s="2"/>
      <c r="N44" s="2" t="s">
        <v>438</v>
      </c>
      <c r="O44" s="2"/>
      <c r="P44" s="2" t="s">
        <v>447</v>
      </c>
      <c r="Q44" s="2"/>
      <c r="R44" s="2" t="s">
        <v>448</v>
      </c>
      <c r="S44" s="2"/>
      <c r="T44" s="2"/>
      <c r="U44" s="2" t="s">
        <v>2083</v>
      </c>
    </row>
    <row r="45" spans="1:21" hidden="1" x14ac:dyDescent="0.25">
      <c r="A45" s="3" t="str">
        <f>INDEX('Correg (V1)'!$B:$B,MATCH($C45,'Correg (V1)'!$B:$B,0),1)</f>
        <v>D8102953--A3167958</v>
      </c>
      <c r="B45" s="3" t="str">
        <f>INDEX('Nueva (V11)'!$B:$B,MATCH($C45,'Nueva (V11)'!$B:$B,0),1)</f>
        <v>D8102953--A3167958</v>
      </c>
      <c r="C45" s="3" t="str">
        <f>_xlfn.TEXTJOIN("-",FALSE,$D45,$J45,$K45)</f>
        <v>D8102953--A3167958</v>
      </c>
      <c r="D45" s="2" t="s">
        <v>724</v>
      </c>
      <c r="E45" s="2" t="s">
        <v>725</v>
      </c>
      <c r="F45" s="2" t="s">
        <v>726</v>
      </c>
      <c r="G45" s="2" t="s">
        <v>727</v>
      </c>
      <c r="H45" s="2" t="s">
        <v>2194</v>
      </c>
      <c r="I45" s="2" t="s">
        <v>2194</v>
      </c>
      <c r="J45" s="2"/>
      <c r="K45" s="2" t="s">
        <v>640</v>
      </c>
      <c r="L45" s="2" t="s">
        <v>2163</v>
      </c>
      <c r="M45" s="2"/>
      <c r="N45" s="2" t="s">
        <v>68</v>
      </c>
      <c r="O45" s="2"/>
      <c r="P45" s="2" t="s">
        <v>549</v>
      </c>
      <c r="Q45" s="2"/>
      <c r="R45" s="2" t="s">
        <v>12</v>
      </c>
      <c r="S45" s="2"/>
      <c r="T45" s="2"/>
      <c r="U45" s="2" t="s">
        <v>2083</v>
      </c>
    </row>
    <row r="46" spans="1:21" ht="45" hidden="1" x14ac:dyDescent="0.25">
      <c r="A46" s="3" t="str">
        <f>INDEX('Correg (V1)'!$B:$B,MATCH($C46,'Correg (V1)'!$B:$B,0),1)</f>
        <v>D8399181-D8399181-</v>
      </c>
      <c r="B46" s="3" t="str">
        <f>INDEX('Nueva (V11)'!$B:$B,MATCH($C46,'Nueva (V11)'!$B:$B,0),1)</f>
        <v>D8399181-D8399181-</v>
      </c>
      <c r="C46" s="3" t="str">
        <f>_xlfn.TEXTJOIN("-",FALSE,$D46,$J46,$K46)</f>
        <v>D8399181-D8399181-</v>
      </c>
      <c r="D46" s="2" t="s">
        <v>606</v>
      </c>
      <c r="E46" s="2" t="s">
        <v>90</v>
      </c>
      <c r="F46" s="2" t="s">
        <v>607</v>
      </c>
      <c r="G46" s="2" t="s">
        <v>528</v>
      </c>
      <c r="H46" s="2" t="s">
        <v>2151</v>
      </c>
      <c r="I46" s="2" t="s">
        <v>608</v>
      </c>
      <c r="J46" s="2" t="s">
        <v>606</v>
      </c>
      <c r="K46" s="2"/>
      <c r="L46" s="2" t="s">
        <v>2152</v>
      </c>
      <c r="M46" s="2" t="s">
        <v>90</v>
      </c>
      <c r="N46" s="2"/>
      <c r="O46" s="2" t="s">
        <v>607</v>
      </c>
      <c r="P46" s="2"/>
      <c r="Q46" s="2" t="s">
        <v>528</v>
      </c>
      <c r="R46" s="2"/>
      <c r="S46" s="2"/>
      <c r="T46" s="2"/>
      <c r="U46" s="2" t="s">
        <v>2038</v>
      </c>
    </row>
    <row r="47" spans="1:21" ht="30" hidden="1" x14ac:dyDescent="0.25">
      <c r="A47" s="3" t="str">
        <f>INDEX('Correg (V1)'!$B:$B,MATCH($C47,'Correg (V1)'!$B:$B,0),1)</f>
        <v>E0049784--I7600760</v>
      </c>
      <c r="B47" s="3" t="e">
        <f>INDEX('Nueva (V11)'!$B:$B,MATCH($C47,'Nueva (V11)'!$B:$B,0),1)</f>
        <v>#N/A</v>
      </c>
      <c r="C47" s="3" t="str">
        <f>_xlfn.TEXTJOIN("-",FALSE,$D47,$J47,$K47)</f>
        <v>E0049784--I7600760</v>
      </c>
      <c r="D47" s="2" t="s">
        <v>935</v>
      </c>
      <c r="E47" s="2" t="s">
        <v>936</v>
      </c>
      <c r="F47" s="2" t="s">
        <v>824</v>
      </c>
      <c r="G47" s="2" t="s">
        <v>825</v>
      </c>
      <c r="H47" s="2" t="s">
        <v>2266</v>
      </c>
      <c r="I47" s="2" t="s">
        <v>937</v>
      </c>
      <c r="J47" s="2"/>
      <c r="K47" s="2" t="s">
        <v>822</v>
      </c>
      <c r="L47" s="2" t="s">
        <v>2229</v>
      </c>
      <c r="M47" s="2"/>
      <c r="N47" s="2" t="s">
        <v>823</v>
      </c>
      <c r="O47" s="2"/>
      <c r="P47" s="2" t="s">
        <v>824</v>
      </c>
      <c r="Q47" s="2"/>
      <c r="R47" s="2" t="s">
        <v>825</v>
      </c>
      <c r="S47" s="2"/>
      <c r="T47" s="2"/>
      <c r="U47" s="2" t="s">
        <v>2083</v>
      </c>
    </row>
    <row r="48" spans="1:21" hidden="1" x14ac:dyDescent="0.25">
      <c r="A48" s="3" t="str">
        <f>INDEX('Correg (V1)'!$B:$B,MATCH($C48,'Correg (V1)'!$B:$B,0),1)</f>
        <v>E3234664--J2543295</v>
      </c>
      <c r="B48" s="3" t="str">
        <f>INDEX('Nueva (V11)'!$B:$B,MATCH($C48,'Nueva (V11)'!$B:$B,0),1)</f>
        <v>E3234664--J2543295</v>
      </c>
      <c r="C48" s="3" t="str">
        <f>_xlfn.TEXTJOIN("-",FALSE,$D48,$J48,$K48)</f>
        <v>E3234664--J2543295</v>
      </c>
      <c r="D48" s="2" t="s">
        <v>916</v>
      </c>
      <c r="E48" s="2" t="s">
        <v>917</v>
      </c>
      <c r="F48" s="2" t="s">
        <v>918</v>
      </c>
      <c r="G48" s="2" t="s">
        <v>617</v>
      </c>
      <c r="H48" s="2" t="s">
        <v>2258</v>
      </c>
      <c r="I48" s="2" t="s">
        <v>919</v>
      </c>
      <c r="J48" s="2"/>
      <c r="K48" s="2" t="s">
        <v>795</v>
      </c>
      <c r="L48" s="2" t="s">
        <v>2220</v>
      </c>
      <c r="M48" s="2"/>
      <c r="N48" s="2" t="s">
        <v>796</v>
      </c>
      <c r="O48" s="2"/>
      <c r="P48" s="2" t="s">
        <v>797</v>
      </c>
      <c r="Q48" s="2"/>
      <c r="R48" s="2" t="s">
        <v>798</v>
      </c>
      <c r="S48" s="2"/>
      <c r="T48" s="2"/>
      <c r="U48" s="2" t="s">
        <v>2046</v>
      </c>
    </row>
    <row r="49" spans="1:21" hidden="1" x14ac:dyDescent="0.25">
      <c r="A49" s="3" t="str">
        <f>INDEX('Correg (V1)'!$B:$B,MATCH($C49,'Correg (V1)'!$B:$B,0),1)</f>
        <v>F1158861-F1158861-</v>
      </c>
      <c r="B49" s="3" t="str">
        <f>INDEX('Nueva (V11)'!$B:$B,MATCH($C49,'Nueva (V11)'!$B:$B,0),1)</f>
        <v>F1158861-F1158861-</v>
      </c>
      <c r="C49" s="3" t="str">
        <f>_xlfn.TEXTJOIN("-",FALSE,$D49,$J49,$K49)</f>
        <v>F1158861-F1158861-</v>
      </c>
      <c r="D49" s="2" t="s">
        <v>901</v>
      </c>
      <c r="E49" s="2" t="s">
        <v>43</v>
      </c>
      <c r="F49" s="2" t="s">
        <v>29</v>
      </c>
      <c r="G49" s="2" t="s">
        <v>902</v>
      </c>
      <c r="H49" s="2" t="s">
        <v>2253</v>
      </c>
      <c r="I49" s="2" t="s">
        <v>903</v>
      </c>
      <c r="J49" s="2" t="s">
        <v>901</v>
      </c>
      <c r="K49" s="2"/>
      <c r="L49" s="2" t="s">
        <v>2254</v>
      </c>
      <c r="M49" s="2" t="s">
        <v>43</v>
      </c>
      <c r="N49" s="2"/>
      <c r="O49" s="2" t="s">
        <v>29</v>
      </c>
      <c r="P49" s="2"/>
      <c r="Q49" s="2" t="s">
        <v>902</v>
      </c>
      <c r="R49" s="2"/>
      <c r="S49" s="2"/>
      <c r="T49" s="2"/>
      <c r="U49" s="2" t="s">
        <v>2038</v>
      </c>
    </row>
    <row r="50" spans="1:21" ht="45" hidden="1" x14ac:dyDescent="0.25">
      <c r="A50" s="3" t="str">
        <f>INDEX('Correg (V1)'!$B:$B,MATCH($C50,'Correg (V1)'!$B:$B,0),1)</f>
        <v>F1270653-F1270653-</v>
      </c>
      <c r="B50" s="3" t="e">
        <f>INDEX('Nueva (V11)'!$B:$B,MATCH($C50,'Nueva (V11)'!$B:$B,0),1)</f>
        <v>#N/A</v>
      </c>
      <c r="C50" s="3" t="str">
        <f>_xlfn.TEXTJOIN("-",FALSE,$D50,$J50,$K50)</f>
        <v>F1270653-F1270653-</v>
      </c>
      <c r="D50" s="2" t="s">
        <v>948</v>
      </c>
      <c r="E50" s="2" t="s">
        <v>43</v>
      </c>
      <c r="F50" s="2" t="s">
        <v>949</v>
      </c>
      <c r="G50" s="2" t="s">
        <v>29</v>
      </c>
      <c r="H50" s="2" t="s">
        <v>2271</v>
      </c>
      <c r="I50" s="2" t="s">
        <v>950</v>
      </c>
      <c r="J50" s="2" t="s">
        <v>948</v>
      </c>
      <c r="K50" s="2"/>
      <c r="L50" s="2" t="s">
        <v>2272</v>
      </c>
      <c r="M50" s="2" t="s">
        <v>43</v>
      </c>
      <c r="N50" s="2"/>
      <c r="O50" s="2" t="s">
        <v>949</v>
      </c>
      <c r="P50" s="2"/>
      <c r="Q50" s="2" t="s">
        <v>29</v>
      </c>
      <c r="R50" s="2"/>
      <c r="S50" s="2"/>
      <c r="T50" s="2"/>
      <c r="U50" s="2" t="s">
        <v>2041</v>
      </c>
    </row>
    <row r="51" spans="1:21" ht="30" hidden="1" x14ac:dyDescent="0.25">
      <c r="A51" s="3" t="str">
        <f>INDEX('Correg (V1)'!$B:$B,MATCH($C51,'Correg (V1)'!$B:$B,0),1)</f>
        <v>F1775183-F1775183-</v>
      </c>
      <c r="B51" s="3" t="e">
        <f>INDEX('Nueva (V11)'!$B:$B,MATCH($C51,'Nueva (V11)'!$B:$B,0),1)</f>
        <v>#N/A</v>
      </c>
      <c r="C51" s="3" t="str">
        <f>_xlfn.TEXTJOIN("-",FALSE,$D51,$J51,$K51)</f>
        <v>F1775183-F1775183-</v>
      </c>
      <c r="D51" s="2" t="s">
        <v>1012</v>
      </c>
      <c r="E51" s="2" t="s">
        <v>1007</v>
      </c>
      <c r="F51" s="2" t="s">
        <v>463</v>
      </c>
      <c r="G51" s="2" t="s">
        <v>1013</v>
      </c>
      <c r="H51" s="2" t="s">
        <v>2303</v>
      </c>
      <c r="I51" s="2" t="s">
        <v>1014</v>
      </c>
      <c r="J51" s="2" t="s">
        <v>1012</v>
      </c>
      <c r="K51" s="2"/>
      <c r="L51" s="2" t="s">
        <v>2304</v>
      </c>
      <c r="M51" s="2" t="s">
        <v>1007</v>
      </c>
      <c r="N51" s="2"/>
      <c r="O51" s="2" t="s">
        <v>463</v>
      </c>
      <c r="P51" s="2"/>
      <c r="Q51" s="2" t="s">
        <v>1013</v>
      </c>
      <c r="R51" s="2"/>
      <c r="S51" s="2"/>
      <c r="T51" s="2"/>
      <c r="U51" s="2" t="s">
        <v>2038</v>
      </c>
    </row>
    <row r="52" spans="1:21" hidden="1" x14ac:dyDescent="0.25">
      <c r="A52" s="3" t="str">
        <f>INDEX('Correg (V1)'!$B:$B,MATCH($C52,'Correg (V1)'!$B:$B,0),1)</f>
        <v>F1960010--A2422013</v>
      </c>
      <c r="B52" s="3" t="e">
        <f>INDEX('Nueva (V11)'!$B:$B,MATCH($C52,'Nueva (V11)'!$B:$B,0),1)</f>
        <v>#N/A</v>
      </c>
      <c r="C52" s="3" t="str">
        <f>_xlfn.TEXTJOIN("-",FALSE,$D52,$J52,$K52)</f>
        <v>F1960010--A2422013</v>
      </c>
      <c r="D52" s="2" t="s">
        <v>1006</v>
      </c>
      <c r="E52" s="2" t="s">
        <v>1007</v>
      </c>
      <c r="F52" s="2" t="s">
        <v>1008</v>
      </c>
      <c r="G52" s="2" t="s">
        <v>1009</v>
      </c>
      <c r="H52" s="2" t="s">
        <v>2300</v>
      </c>
      <c r="I52" s="2" t="s">
        <v>2300</v>
      </c>
      <c r="J52" s="2"/>
      <c r="K52" s="2" t="s">
        <v>575</v>
      </c>
      <c r="L52" s="2" t="s">
        <v>2138</v>
      </c>
      <c r="M52" s="2"/>
      <c r="N52" s="2" t="s">
        <v>576</v>
      </c>
      <c r="O52" s="2"/>
      <c r="P52" s="2" t="s">
        <v>577</v>
      </c>
      <c r="Q52" s="2"/>
      <c r="R52" s="2" t="s">
        <v>578</v>
      </c>
      <c r="S52" s="2"/>
      <c r="T52" s="2"/>
      <c r="U52" s="2" t="s">
        <v>2083</v>
      </c>
    </row>
    <row r="53" spans="1:21" ht="45" hidden="1" x14ac:dyDescent="0.25">
      <c r="A53" s="3" t="str">
        <f>INDEX('Correg (V1)'!$B:$B,MATCH($C53,'Correg (V1)'!$B:$B,0),1)</f>
        <v>F2867294-F2867294-</v>
      </c>
      <c r="B53" s="3" t="e">
        <f>INDEX('Nueva (V11)'!$B:$B,MATCH($C53,'Nueva (V11)'!$B:$B,0),1)</f>
        <v>#N/A</v>
      </c>
      <c r="C53" s="3" t="str">
        <f>_xlfn.TEXTJOIN("-",FALSE,$D53,$J53,$K53)</f>
        <v>F2867294-F2867294-</v>
      </c>
      <c r="D53" s="2" t="s">
        <v>1134</v>
      </c>
      <c r="E53" s="2" t="s">
        <v>1135</v>
      </c>
      <c r="F53" s="2" t="s">
        <v>16</v>
      </c>
      <c r="G53" s="2" t="s">
        <v>1136</v>
      </c>
      <c r="H53" s="2" t="s">
        <v>2362</v>
      </c>
      <c r="I53" s="2" t="s">
        <v>614</v>
      </c>
      <c r="J53" s="2" t="s">
        <v>1134</v>
      </c>
      <c r="K53" s="2"/>
      <c r="L53" s="2" t="s">
        <v>2363</v>
      </c>
      <c r="M53" s="2" t="s">
        <v>1135</v>
      </c>
      <c r="N53" s="2"/>
      <c r="O53" s="2" t="s">
        <v>16</v>
      </c>
      <c r="P53" s="2"/>
      <c r="Q53" s="2" t="s">
        <v>1136</v>
      </c>
      <c r="R53" s="2"/>
      <c r="S53" s="2"/>
      <c r="T53" s="2"/>
      <c r="U53" s="2" t="s">
        <v>2080</v>
      </c>
    </row>
    <row r="54" spans="1:21" ht="30" hidden="1" x14ac:dyDescent="0.25">
      <c r="A54" s="3" t="str">
        <f>INDEX('Correg (V1)'!$B:$B,MATCH($C54,'Correg (V1)'!$B:$B,0),1)</f>
        <v>F3680745--A9859396</v>
      </c>
      <c r="B54" s="3" t="e">
        <f>INDEX('Nueva (V11)'!$B:$B,MATCH($C54,'Nueva (V11)'!$B:$B,0),1)</f>
        <v>#N/A</v>
      </c>
      <c r="C54" s="3" t="str">
        <f>_xlfn.TEXTJOIN("-",FALSE,$D54,$J54,$K54)</f>
        <v>F3680745--A9859396</v>
      </c>
      <c r="D54" s="2" t="s">
        <v>986</v>
      </c>
      <c r="E54" s="2" t="s">
        <v>987</v>
      </c>
      <c r="F54" s="2" t="s">
        <v>521</v>
      </c>
      <c r="G54" s="2" t="s">
        <v>29</v>
      </c>
      <c r="H54" s="2" t="s">
        <v>2290</v>
      </c>
      <c r="I54" s="2" t="s">
        <v>988</v>
      </c>
      <c r="J54" s="2"/>
      <c r="K54" s="2" t="s">
        <v>911</v>
      </c>
      <c r="L54" s="2" t="s">
        <v>2257</v>
      </c>
      <c r="M54" s="2"/>
      <c r="N54" s="2" t="s">
        <v>912</v>
      </c>
      <c r="O54" s="2"/>
      <c r="P54" s="2" t="s">
        <v>913</v>
      </c>
      <c r="Q54" s="2"/>
      <c r="R54" s="2" t="s">
        <v>30</v>
      </c>
      <c r="S54" s="2"/>
      <c r="T54" s="2"/>
      <c r="U54" s="2" t="s">
        <v>2083</v>
      </c>
    </row>
    <row r="55" spans="1:21" ht="30" hidden="1" x14ac:dyDescent="0.25">
      <c r="A55" s="3" t="str">
        <f>INDEX('Correg (V1)'!$B:$B,MATCH($C55,'Correg (V1)'!$B:$B,0),1)</f>
        <v>F4038832-F4038832-</v>
      </c>
      <c r="B55" s="3" t="e">
        <f>INDEX('Nueva (V11)'!$B:$B,MATCH($C55,'Nueva (V11)'!$B:$B,0),1)</f>
        <v>#N/A</v>
      </c>
      <c r="C55" s="3" t="str">
        <f>_xlfn.TEXTJOIN("-",FALSE,$D55,$J55,$K55)</f>
        <v>F4038832-F4038832-</v>
      </c>
      <c r="D55" s="2" t="s">
        <v>1093</v>
      </c>
      <c r="E55" s="2" t="s">
        <v>1094</v>
      </c>
      <c r="F55" s="2" t="s">
        <v>1095</v>
      </c>
      <c r="G55" s="2" t="s">
        <v>1096</v>
      </c>
      <c r="H55" s="2" t="s">
        <v>2344</v>
      </c>
      <c r="I55" s="2" t="s">
        <v>1097</v>
      </c>
      <c r="J55" s="2" t="s">
        <v>1093</v>
      </c>
      <c r="K55" s="2"/>
      <c r="L55" s="2" t="s">
        <v>2345</v>
      </c>
      <c r="M55" s="2" t="s">
        <v>1094</v>
      </c>
      <c r="N55" s="2"/>
      <c r="O55" s="2" t="s">
        <v>1095</v>
      </c>
      <c r="P55" s="2"/>
      <c r="Q55" s="2" t="s">
        <v>1096</v>
      </c>
      <c r="R55" s="2"/>
      <c r="S55" s="2"/>
      <c r="T55" s="2"/>
      <c r="U55" s="2" t="s">
        <v>2038</v>
      </c>
    </row>
    <row r="56" spans="1:21" ht="30" hidden="1" x14ac:dyDescent="0.25">
      <c r="A56" s="3" t="str">
        <f>INDEX('Correg (V1)'!$B:$B,MATCH($C56,'Correg (V1)'!$B:$B,0),1)</f>
        <v>F5049139-F5049139-</v>
      </c>
      <c r="B56" s="3" t="str">
        <f>INDEX('Nueva (V11)'!$B:$B,MATCH($C56,'Nueva (V11)'!$B:$B,0),1)</f>
        <v>F5049139-F5049139-</v>
      </c>
      <c r="C56" s="3" t="str">
        <f>_xlfn.TEXTJOIN("-",FALSE,$D56,$J56,$K56)</f>
        <v>F5049139-F5049139-</v>
      </c>
      <c r="D56" s="2" t="s">
        <v>449</v>
      </c>
      <c r="E56" s="2" t="s">
        <v>38</v>
      </c>
      <c r="F56" s="2" t="s">
        <v>450</v>
      </c>
      <c r="G56" s="2" t="s">
        <v>451</v>
      </c>
      <c r="H56" s="2" t="s">
        <v>2084</v>
      </c>
      <c r="I56" s="2" t="s">
        <v>452</v>
      </c>
      <c r="J56" s="2" t="s">
        <v>449</v>
      </c>
      <c r="K56" s="2"/>
      <c r="L56" s="2" t="s">
        <v>2085</v>
      </c>
      <c r="M56" s="2" t="s">
        <v>38</v>
      </c>
      <c r="N56" s="2"/>
      <c r="O56" s="2" t="s">
        <v>450</v>
      </c>
      <c r="P56" s="2"/>
      <c r="Q56" s="2" t="s">
        <v>451</v>
      </c>
      <c r="R56" s="2"/>
      <c r="S56" s="2"/>
      <c r="T56" s="2"/>
      <c r="U56" s="2" t="s">
        <v>2080</v>
      </c>
    </row>
    <row r="57" spans="1:21" hidden="1" x14ac:dyDescent="0.25">
      <c r="A57" s="3" t="str">
        <f>INDEX('Correg (V1)'!$B:$B,MATCH($C57,'Correg (V1)'!$B:$B,0),1)</f>
        <v>F5762639--M1155913</v>
      </c>
      <c r="B57" s="3" t="str">
        <f>INDEX('Nueva (V11)'!$B:$B,MATCH($C57,'Nueva (V11)'!$B:$B,0),1)</f>
        <v>F5762639--M1155913</v>
      </c>
      <c r="C57" s="3" t="str">
        <f>_xlfn.TEXTJOIN("-",FALSE,$D57,$J57,$K57)</f>
        <v>F5762639--M1155913</v>
      </c>
      <c r="D57" s="2" t="s">
        <v>875</v>
      </c>
      <c r="E57" s="2" t="s">
        <v>876</v>
      </c>
      <c r="F57" s="2" t="s">
        <v>877</v>
      </c>
      <c r="G57" s="2" t="s">
        <v>878</v>
      </c>
      <c r="H57" s="2" t="s">
        <v>2243</v>
      </c>
      <c r="I57" s="2" t="s">
        <v>2243</v>
      </c>
      <c r="J57" s="2"/>
      <c r="K57" s="2" t="s">
        <v>868</v>
      </c>
      <c r="L57" s="2" t="s">
        <v>2240</v>
      </c>
      <c r="M57" s="2"/>
      <c r="N57" s="2" t="s">
        <v>6</v>
      </c>
      <c r="O57" s="2"/>
      <c r="P57" s="2" t="s">
        <v>798</v>
      </c>
      <c r="Q57" s="2"/>
      <c r="R57" s="2" t="s">
        <v>869</v>
      </c>
      <c r="S57" s="2"/>
      <c r="T57" s="2"/>
      <c r="U57" s="2" t="s">
        <v>2083</v>
      </c>
    </row>
    <row r="58" spans="1:21" ht="30" hidden="1" x14ac:dyDescent="0.25">
      <c r="A58" s="3" t="str">
        <f>INDEX('Correg (V1)'!$B:$B,MATCH($C58,'Correg (V1)'!$B:$B,0),1)</f>
        <v>F6446981--A3167958</v>
      </c>
      <c r="B58" s="3" t="str">
        <f>INDEX('Nueva (V11)'!$B:$B,MATCH($C58,'Nueva (V11)'!$B:$B,0),1)</f>
        <v>F6446981--A3167958</v>
      </c>
      <c r="C58" s="3" t="str">
        <f>_xlfn.TEXTJOIN("-",FALSE,$D58,$J58,$K58)</f>
        <v>F6446981--A3167958</v>
      </c>
      <c r="D58" s="2" t="s">
        <v>636</v>
      </c>
      <c r="E58" s="2" t="s">
        <v>637</v>
      </c>
      <c r="F58" s="2" t="s">
        <v>496</v>
      </c>
      <c r="G58" s="2" t="s">
        <v>638</v>
      </c>
      <c r="H58" s="2" t="s">
        <v>2162</v>
      </c>
      <c r="I58" s="2" t="s">
        <v>639</v>
      </c>
      <c r="J58" s="2"/>
      <c r="K58" s="2" t="s">
        <v>640</v>
      </c>
      <c r="L58" s="2" t="s">
        <v>2163</v>
      </c>
      <c r="M58" s="2"/>
      <c r="N58" s="2" t="s">
        <v>68</v>
      </c>
      <c r="O58" s="2"/>
      <c r="P58" s="2" t="s">
        <v>549</v>
      </c>
      <c r="Q58" s="2"/>
      <c r="R58" s="2" t="s">
        <v>12</v>
      </c>
      <c r="S58" s="2"/>
      <c r="T58" s="2"/>
      <c r="U58" s="2" t="s">
        <v>2083</v>
      </c>
    </row>
    <row r="59" spans="1:21" ht="30" hidden="1" x14ac:dyDescent="0.25">
      <c r="A59" s="3" t="str">
        <f>INDEX('Correg (V1)'!$B:$B,MATCH($C59,'Correg (V1)'!$B:$B,0),1)</f>
        <v>F7394324-F7394324-</v>
      </c>
      <c r="B59" s="3" t="e">
        <f>INDEX('Nueva (V11)'!$B:$B,MATCH($C59,'Nueva (V11)'!$B:$B,0),1)</f>
        <v>#N/A</v>
      </c>
      <c r="C59" s="3" t="str">
        <f>_xlfn.TEXTJOIN("-",FALSE,$D59,$J59,$K59)</f>
        <v>F7394324-F7394324-</v>
      </c>
      <c r="D59" s="2" t="s">
        <v>1044</v>
      </c>
      <c r="E59" s="2" t="s">
        <v>2319</v>
      </c>
      <c r="F59" s="2" t="s">
        <v>29</v>
      </c>
      <c r="G59" s="2" t="s">
        <v>546</v>
      </c>
      <c r="H59" s="2" t="s">
        <v>2320</v>
      </c>
      <c r="I59" s="2" t="s">
        <v>1045</v>
      </c>
      <c r="J59" s="2" t="s">
        <v>1044</v>
      </c>
      <c r="K59" s="2"/>
      <c r="L59" s="2" t="s">
        <v>2321</v>
      </c>
      <c r="M59" s="2" t="s">
        <v>2319</v>
      </c>
      <c r="N59" s="2"/>
      <c r="O59" s="2" t="s">
        <v>29</v>
      </c>
      <c r="P59" s="2"/>
      <c r="Q59" s="2" t="s">
        <v>546</v>
      </c>
      <c r="R59" s="2"/>
      <c r="S59" s="2"/>
      <c r="T59" s="2"/>
      <c r="U59" s="2" t="s">
        <v>2071</v>
      </c>
    </row>
    <row r="60" spans="1:21" ht="30" hidden="1" x14ac:dyDescent="0.25">
      <c r="A60" s="3" t="str">
        <f>INDEX('Correg (V1)'!$B:$B,MATCH($C60,'Correg (V1)'!$B:$B,0),1)</f>
        <v>F7796330--B2149319</v>
      </c>
      <c r="B60" s="3" t="str">
        <f>INDEX('Nueva (V11)'!$B:$B,MATCH($C60,'Nueva (V11)'!$B:$B,0),1)</f>
        <v>F7796330--B2149319</v>
      </c>
      <c r="C60" s="3" t="str">
        <f>_xlfn.TEXTJOIN("-",FALSE,$D60,$J60,$K60)</f>
        <v>F7796330--B2149319</v>
      </c>
      <c r="D60" s="2" t="s">
        <v>527</v>
      </c>
      <c r="E60" s="2" t="s">
        <v>38</v>
      </c>
      <c r="F60" s="2" t="s">
        <v>528</v>
      </c>
      <c r="G60" s="2" t="s">
        <v>529</v>
      </c>
      <c r="H60" s="2" t="s">
        <v>2117</v>
      </c>
      <c r="I60" s="2" t="s">
        <v>530</v>
      </c>
      <c r="J60" s="2"/>
      <c r="K60" s="2" t="s">
        <v>531</v>
      </c>
      <c r="L60" s="2" t="s">
        <v>2118</v>
      </c>
      <c r="M60" s="2"/>
      <c r="N60" s="2" t="s">
        <v>532</v>
      </c>
      <c r="O60" s="2"/>
      <c r="P60" s="2" t="s">
        <v>21</v>
      </c>
      <c r="Q60" s="2"/>
      <c r="R60" s="2" t="s">
        <v>533</v>
      </c>
      <c r="S60" s="2"/>
      <c r="T60" s="2"/>
      <c r="U60" s="2" t="s">
        <v>2071</v>
      </c>
    </row>
    <row r="61" spans="1:21" ht="30" hidden="1" x14ac:dyDescent="0.25">
      <c r="A61" s="3" t="str">
        <f>INDEX('Correg (V1)'!$B:$B,MATCH($C61,'Correg (V1)'!$B:$B,0),1)</f>
        <v>F8146290-F8146290-</v>
      </c>
      <c r="B61" s="3" t="str">
        <f>INDEX('Nueva (V11)'!$B:$B,MATCH($C61,'Nueva (V11)'!$B:$B,0),1)</f>
        <v>F8146290-F8146290-</v>
      </c>
      <c r="C61" s="3" t="str">
        <f>_xlfn.TEXTJOIN("-",FALSE,$D61,$J61,$K61)</f>
        <v>F8146290-F8146290-</v>
      </c>
      <c r="D61" s="2" t="s">
        <v>37</v>
      </c>
      <c r="E61" s="2" t="s">
        <v>38</v>
      </c>
      <c r="F61" s="2" t="s">
        <v>39</v>
      </c>
      <c r="G61" s="2" t="s">
        <v>40</v>
      </c>
      <c r="H61" s="2" t="s">
        <v>2049</v>
      </c>
      <c r="I61" s="2" t="s">
        <v>41</v>
      </c>
      <c r="J61" s="2" t="s">
        <v>37</v>
      </c>
      <c r="K61" s="2"/>
      <c r="L61" s="2" t="s">
        <v>2050</v>
      </c>
      <c r="M61" s="2" t="s">
        <v>38</v>
      </c>
      <c r="N61" s="2"/>
      <c r="O61" s="2" t="s">
        <v>39</v>
      </c>
      <c r="P61" s="2"/>
      <c r="Q61" s="2" t="s">
        <v>40</v>
      </c>
      <c r="R61" s="2"/>
      <c r="S61" s="2"/>
      <c r="T61" s="2"/>
      <c r="U61" s="2" t="s">
        <v>2038</v>
      </c>
    </row>
    <row r="62" spans="1:21" hidden="1" x14ac:dyDescent="0.25">
      <c r="A62" s="3" t="str">
        <f>INDEX('Correg (V1)'!$B:$B,MATCH($C62,'Correg (V1)'!$B:$B,0),1)</f>
        <v>F9009293-F9009293-</v>
      </c>
      <c r="B62" s="3" t="str">
        <f>INDEX('Nueva (V11)'!$B:$B,MATCH($C62,'Nueva (V11)'!$B:$B,0),1)</f>
        <v>F9009293-F9009293-</v>
      </c>
      <c r="C62" s="3" t="str">
        <f>_xlfn.TEXTJOIN("-",FALSE,$D62,$J62,$K62)</f>
        <v>F9009293-F9009293-</v>
      </c>
      <c r="D62" s="2" t="s">
        <v>42</v>
      </c>
      <c r="E62" s="2" t="s">
        <v>43</v>
      </c>
      <c r="F62" s="2" t="s">
        <v>44</v>
      </c>
      <c r="G62" s="2" t="s">
        <v>45</v>
      </c>
      <c r="H62" s="2" t="s">
        <v>2051</v>
      </c>
      <c r="I62" s="2" t="s">
        <v>46</v>
      </c>
      <c r="J62" s="2" t="s">
        <v>42</v>
      </c>
      <c r="K62" s="2"/>
      <c r="L62" s="2" t="s">
        <v>2052</v>
      </c>
      <c r="M62" s="2" t="s">
        <v>43</v>
      </c>
      <c r="N62" s="2"/>
      <c r="O62" s="2" t="s">
        <v>44</v>
      </c>
      <c r="P62" s="2"/>
      <c r="Q62" s="2" t="s">
        <v>45</v>
      </c>
      <c r="R62" s="2"/>
      <c r="S62" s="2"/>
      <c r="T62" s="2"/>
      <c r="U62" s="2" t="s">
        <v>47</v>
      </c>
    </row>
    <row r="63" spans="1:21" ht="30" hidden="1" x14ac:dyDescent="0.25">
      <c r="A63" s="3" t="str">
        <f>INDEX('Correg (V1)'!$B:$B,MATCH($C63,'Correg (V1)'!$B:$B,0),1)</f>
        <v>F9397311-F9397311-</v>
      </c>
      <c r="B63" s="3" t="e">
        <f>INDEX('Nueva (V11)'!$B:$B,MATCH($C63,'Nueva (V11)'!$B:$B,0),1)</f>
        <v>#N/A</v>
      </c>
      <c r="C63" s="3" t="str">
        <f>_xlfn.TEXTJOIN("-",FALSE,$D63,$J63,$K63)</f>
        <v>F9397311-F9397311-</v>
      </c>
      <c r="D63" s="2" t="s">
        <v>1101</v>
      </c>
      <c r="E63" s="2" t="s">
        <v>1102</v>
      </c>
      <c r="F63" s="2" t="s">
        <v>1103</v>
      </c>
      <c r="G63" s="2" t="s">
        <v>1104</v>
      </c>
      <c r="H63" s="2" t="s">
        <v>2347</v>
      </c>
      <c r="I63" s="2" t="s">
        <v>1105</v>
      </c>
      <c r="J63" s="2" t="s">
        <v>1101</v>
      </c>
      <c r="K63" s="2"/>
      <c r="L63" s="2" t="s">
        <v>2348</v>
      </c>
      <c r="M63" s="2" t="s">
        <v>1102</v>
      </c>
      <c r="N63" s="2"/>
      <c r="O63" s="2" t="s">
        <v>1103</v>
      </c>
      <c r="P63" s="2"/>
      <c r="Q63" s="2" t="s">
        <v>1104</v>
      </c>
      <c r="R63" s="2"/>
      <c r="S63" s="2"/>
      <c r="T63" s="2"/>
      <c r="U63" s="2" t="s">
        <v>2038</v>
      </c>
    </row>
    <row r="64" spans="1:21" ht="30" hidden="1" x14ac:dyDescent="0.25">
      <c r="A64" s="3" t="str">
        <f>INDEX('Correg (V1)'!$B:$B,MATCH($C64,'Correg (V1)'!$B:$B,0),1)</f>
        <v>F9551809--L7371274</v>
      </c>
      <c r="B64" s="3" t="e">
        <f>INDEX('Nueva (V11)'!$B:$B,MATCH($C64,'Nueva (V11)'!$B:$B,0),1)</f>
        <v>#N/A</v>
      </c>
      <c r="C64" s="3" t="str">
        <f>_xlfn.TEXTJOIN("-",FALSE,$D64,$J64,$K64)</f>
        <v>F9551809--L7371274</v>
      </c>
      <c r="D64" s="2" t="s">
        <v>992</v>
      </c>
      <c r="E64" s="2" t="s">
        <v>637</v>
      </c>
      <c r="F64" s="2" t="s">
        <v>993</v>
      </c>
      <c r="G64" s="2" t="s">
        <v>55</v>
      </c>
      <c r="H64" s="2" t="s">
        <v>2292</v>
      </c>
      <c r="I64" s="2" t="s">
        <v>2292</v>
      </c>
      <c r="J64" s="2"/>
      <c r="K64" s="2" t="s">
        <v>453</v>
      </c>
      <c r="L64" s="2" t="s">
        <v>2086</v>
      </c>
      <c r="M64" s="2"/>
      <c r="N64" s="2" t="s">
        <v>454</v>
      </c>
      <c r="O64" s="2"/>
      <c r="P64" s="2" t="s">
        <v>455</v>
      </c>
      <c r="Q64" s="2"/>
      <c r="R64" s="2" t="s">
        <v>29</v>
      </c>
      <c r="S64" s="2"/>
      <c r="T64" s="2"/>
      <c r="U64" s="2" t="s">
        <v>2083</v>
      </c>
    </row>
    <row r="65" spans="1:21" hidden="1" x14ac:dyDescent="0.25">
      <c r="A65" s="3" t="str">
        <f>INDEX('Correg (V1)'!$B:$B,MATCH($C65,'Correg (V1)'!$B:$B,0),1)</f>
        <v>F9876087-F9876087-</v>
      </c>
      <c r="B65" s="3" t="str">
        <f>INDEX('Nueva (V11)'!$B:$B,MATCH($C65,'Nueva (V11)'!$B:$B,0),1)</f>
        <v>F9876087-F9876087-</v>
      </c>
      <c r="C65" s="3" t="str">
        <f>_xlfn.TEXTJOIN("-",FALSE,$D65,$J65,$K65)</f>
        <v>F9876087-F9876087-</v>
      </c>
      <c r="D65" s="2" t="s">
        <v>748</v>
      </c>
      <c r="E65" s="2" t="s">
        <v>43</v>
      </c>
      <c r="F65" s="2" t="s">
        <v>749</v>
      </c>
      <c r="G65" s="2" t="s">
        <v>750</v>
      </c>
      <c r="H65" s="2" t="s">
        <v>2202</v>
      </c>
      <c r="I65" s="2" t="s">
        <v>693</v>
      </c>
      <c r="J65" s="2" t="s">
        <v>748</v>
      </c>
      <c r="K65" s="2"/>
      <c r="L65" s="2" t="s">
        <v>2203</v>
      </c>
      <c r="M65" s="2" t="s">
        <v>43</v>
      </c>
      <c r="N65" s="2"/>
      <c r="O65" s="2" t="s">
        <v>749</v>
      </c>
      <c r="P65" s="2"/>
      <c r="Q65" s="2" t="s">
        <v>750</v>
      </c>
      <c r="R65" s="2"/>
      <c r="S65" s="2"/>
      <c r="T65" s="2"/>
      <c r="U65" s="2" t="s">
        <v>2038</v>
      </c>
    </row>
    <row r="66" spans="1:21" ht="30" hidden="1" x14ac:dyDescent="0.25">
      <c r="A66" s="3" t="str">
        <f>INDEX('Correg (V1)'!$B:$B,MATCH($C66,'Correg (V1)'!$B:$B,0),1)</f>
        <v>G0003988-G0003988-</v>
      </c>
      <c r="B66" s="3" t="str">
        <f>INDEX('Nueva (V11)'!$B:$B,MATCH($C66,'Nueva (V11)'!$B:$B,0),1)</f>
        <v>G0003988-G0003988-</v>
      </c>
      <c r="C66" s="3" t="str">
        <f>_xlfn.TEXTJOIN("-",FALSE,$D66,$J66,$K66)</f>
        <v>G0003988-G0003988-</v>
      </c>
      <c r="D66" s="2" t="s">
        <v>694</v>
      </c>
      <c r="E66" s="2" t="s">
        <v>695</v>
      </c>
      <c r="F66" s="2" t="s">
        <v>493</v>
      </c>
      <c r="G66" s="2" t="s">
        <v>696</v>
      </c>
      <c r="H66" s="2" t="s">
        <v>2182</v>
      </c>
      <c r="I66" s="2" t="s">
        <v>697</v>
      </c>
      <c r="J66" s="2" t="s">
        <v>694</v>
      </c>
      <c r="K66" s="2"/>
      <c r="L66" s="2" t="s">
        <v>2183</v>
      </c>
      <c r="M66" s="2" t="s">
        <v>695</v>
      </c>
      <c r="N66" s="2"/>
      <c r="O66" s="2" t="s">
        <v>493</v>
      </c>
      <c r="P66" s="2"/>
      <c r="Q66" s="2" t="s">
        <v>696</v>
      </c>
      <c r="R66" s="2"/>
      <c r="S66" s="2"/>
      <c r="T66" s="2"/>
      <c r="U66" s="2" t="s">
        <v>2038</v>
      </c>
    </row>
    <row r="67" spans="1:21" ht="30" hidden="1" x14ac:dyDescent="0.25">
      <c r="A67" s="3" t="str">
        <f>INDEX('Correg (V1)'!$B:$B,MATCH($C67,'Correg (V1)'!$B:$B,0),1)</f>
        <v>G0003988-J9873482-</v>
      </c>
      <c r="B67" s="3" t="str">
        <f>INDEX('Nueva (V11)'!$B:$B,MATCH($C67,'Nueva (V11)'!$B:$B,0),1)</f>
        <v>G0003988-J9873482-</v>
      </c>
      <c r="C67" s="3" t="str">
        <f>_xlfn.TEXTJOIN("-",FALSE,$D67,$J67,$K67)</f>
        <v>G0003988-J9873482-</v>
      </c>
      <c r="D67" s="2" t="s">
        <v>694</v>
      </c>
      <c r="E67" s="2" t="s">
        <v>695</v>
      </c>
      <c r="F67" s="2" t="s">
        <v>493</v>
      </c>
      <c r="G67" s="2" t="s">
        <v>696</v>
      </c>
      <c r="H67" s="2" t="s">
        <v>2182</v>
      </c>
      <c r="I67" s="2" t="s">
        <v>697</v>
      </c>
      <c r="J67" s="2" t="s">
        <v>698</v>
      </c>
      <c r="K67" s="2"/>
      <c r="L67" s="2" t="s">
        <v>2183</v>
      </c>
      <c r="M67" s="2" t="s">
        <v>699</v>
      </c>
      <c r="N67" s="2"/>
      <c r="O67" s="2" t="s">
        <v>700</v>
      </c>
      <c r="P67" s="2"/>
      <c r="Q67" s="2" t="s">
        <v>701</v>
      </c>
      <c r="R67" s="2"/>
      <c r="S67" s="2"/>
      <c r="T67" s="2"/>
      <c r="U67" s="2" t="s">
        <v>2038</v>
      </c>
    </row>
    <row r="68" spans="1:21" hidden="1" x14ac:dyDescent="0.25">
      <c r="A68" s="3" t="str">
        <f>INDEX('Correg (V1)'!$B:$B,MATCH($C68,'Correg (V1)'!$B:$B,0),1)</f>
        <v>G1309777-G1309777-</v>
      </c>
      <c r="B68" s="3" t="str">
        <f>INDEX('Nueva (V11)'!$B:$B,MATCH($C68,'Nueva (V11)'!$B:$B,0),1)</f>
        <v>G1309777-G1309777-</v>
      </c>
      <c r="C68" s="3" t="str">
        <f>_xlfn.TEXTJOIN("-",FALSE,$D68,$J68,$K68)</f>
        <v>G1309777-G1309777-</v>
      </c>
      <c r="D68" s="2" t="s">
        <v>62</v>
      </c>
      <c r="E68" s="2" t="s">
        <v>63</v>
      </c>
      <c r="F68" s="2" t="s">
        <v>64</v>
      </c>
      <c r="G68" s="2" t="s">
        <v>65</v>
      </c>
      <c r="H68" s="2" t="s">
        <v>2059</v>
      </c>
      <c r="I68" s="2" t="s">
        <v>66</v>
      </c>
      <c r="J68" s="2" t="s">
        <v>62</v>
      </c>
      <c r="K68" s="2"/>
      <c r="L68" s="2" t="s">
        <v>2060</v>
      </c>
      <c r="M68" s="2" t="s">
        <v>63</v>
      </c>
      <c r="N68" s="2"/>
      <c r="O68" s="2" t="s">
        <v>64</v>
      </c>
      <c r="P68" s="2"/>
      <c r="Q68" s="2" t="s">
        <v>65</v>
      </c>
      <c r="R68" s="2"/>
      <c r="S68" s="2"/>
      <c r="T68" s="2"/>
      <c r="U68" s="2" t="s">
        <v>47</v>
      </c>
    </row>
    <row r="69" spans="1:21" ht="30" hidden="1" x14ac:dyDescent="0.25">
      <c r="A69" s="3" t="str">
        <f>INDEX('Correg (V1)'!$B:$B,MATCH($C69,'Correg (V1)'!$B:$B,0),1)</f>
        <v>G2953728--I7600760</v>
      </c>
      <c r="B69" s="3" t="str">
        <f>INDEX('Nueva (V11)'!$B:$B,MATCH($C69,'Nueva (V11)'!$B:$B,0),1)</f>
        <v>G2953728--I7600760</v>
      </c>
      <c r="C69" s="3" t="str">
        <f>_xlfn.TEXTJOIN("-",FALSE,$D69,$J69,$K69)</f>
        <v>G2953728--I7600760</v>
      </c>
      <c r="D69" s="2" t="s">
        <v>855</v>
      </c>
      <c r="E69" s="2" t="s">
        <v>856</v>
      </c>
      <c r="F69" s="2" t="s">
        <v>857</v>
      </c>
      <c r="G69" s="2" t="s">
        <v>858</v>
      </c>
      <c r="H69" s="2" t="s">
        <v>2237</v>
      </c>
      <c r="I69" s="2" t="s">
        <v>859</v>
      </c>
      <c r="J69" s="2"/>
      <c r="K69" s="2" t="s">
        <v>822</v>
      </c>
      <c r="L69" s="2" t="s">
        <v>2229</v>
      </c>
      <c r="M69" s="2"/>
      <c r="N69" s="2" t="s">
        <v>823</v>
      </c>
      <c r="O69" s="2"/>
      <c r="P69" s="2" t="s">
        <v>824</v>
      </c>
      <c r="Q69" s="2"/>
      <c r="R69" s="2" t="s">
        <v>825</v>
      </c>
      <c r="S69" s="2"/>
      <c r="T69" s="2"/>
      <c r="U69" s="2" t="s">
        <v>2083</v>
      </c>
    </row>
    <row r="70" spans="1:21" ht="30" hidden="1" x14ac:dyDescent="0.25">
      <c r="A70" s="3" t="str">
        <f>INDEX('Correg (V1)'!$B:$B,MATCH($C70,'Correg (V1)'!$B:$B,0),1)</f>
        <v>G3229318--J2543295</v>
      </c>
      <c r="B70" s="3" t="str">
        <f>INDEX('Nueva (V11)'!$B:$B,MATCH($C70,'Nueva (V11)'!$B:$B,0),1)</f>
        <v>G3229318--J2543295</v>
      </c>
      <c r="C70" s="3" t="str">
        <f>_xlfn.TEXTJOIN("-",FALSE,$D70,$J70,$K70)</f>
        <v>G3229318--J2543295</v>
      </c>
      <c r="D70" s="2" t="s">
        <v>791</v>
      </c>
      <c r="E70" s="2" t="s">
        <v>524</v>
      </c>
      <c r="F70" s="2" t="s">
        <v>792</v>
      </c>
      <c r="G70" s="2" t="s">
        <v>793</v>
      </c>
      <c r="H70" s="2" t="s">
        <v>2219</v>
      </c>
      <c r="I70" s="2" t="s">
        <v>794</v>
      </c>
      <c r="J70" s="2"/>
      <c r="K70" s="2" t="s">
        <v>795</v>
      </c>
      <c r="L70" s="2" t="s">
        <v>2220</v>
      </c>
      <c r="M70" s="2"/>
      <c r="N70" s="2" t="s">
        <v>796</v>
      </c>
      <c r="O70" s="2"/>
      <c r="P70" s="2" t="s">
        <v>797</v>
      </c>
      <c r="Q70" s="2"/>
      <c r="R70" s="2" t="s">
        <v>798</v>
      </c>
      <c r="S70" s="2"/>
      <c r="T70" s="2"/>
      <c r="U70" s="2" t="s">
        <v>2046</v>
      </c>
    </row>
    <row r="71" spans="1:21" hidden="1" x14ac:dyDescent="0.25">
      <c r="A71" s="3" t="str">
        <f>INDEX('Correg (V1)'!$B:$B,MATCH($C71,'Correg (V1)'!$B:$B,0),1)</f>
        <v>G9554789-G9554789-</v>
      </c>
      <c r="B71" s="3" t="str">
        <f>INDEX('Nueva (V11)'!$B:$B,MATCH($C71,'Nueva (V11)'!$B:$B,0),1)</f>
        <v>G9554789-G9554789-</v>
      </c>
      <c r="C71" s="3" t="str">
        <f>_xlfn.TEXTJOIN("-",FALSE,$D71,$J71,$K71)</f>
        <v>G9554789-G9554789-</v>
      </c>
      <c r="D71" s="2" t="s">
        <v>523</v>
      </c>
      <c r="E71" s="2" t="s">
        <v>524</v>
      </c>
      <c r="F71" s="2" t="s">
        <v>3</v>
      </c>
      <c r="G71" s="2" t="s">
        <v>525</v>
      </c>
      <c r="H71" s="2" t="s">
        <v>2115</v>
      </c>
      <c r="I71" s="2" t="s">
        <v>526</v>
      </c>
      <c r="J71" s="2" t="s">
        <v>523</v>
      </c>
      <c r="K71" s="2"/>
      <c r="L71" s="2" t="s">
        <v>2116</v>
      </c>
      <c r="M71" s="2" t="s">
        <v>524</v>
      </c>
      <c r="N71" s="2"/>
      <c r="O71" s="2" t="s">
        <v>3</v>
      </c>
      <c r="P71" s="2"/>
      <c r="Q71" s="2" t="s">
        <v>525</v>
      </c>
      <c r="R71" s="2"/>
      <c r="S71" s="2"/>
      <c r="T71" s="2"/>
      <c r="U71" s="2" t="s">
        <v>2071</v>
      </c>
    </row>
    <row r="72" spans="1:21" hidden="1" x14ac:dyDescent="0.25">
      <c r="A72" s="3" t="str">
        <f>INDEX('Correg (V1)'!$B:$B,MATCH($C72,'Correg (V1)'!$B:$B,0),1)</f>
        <v>H7461208--E3066917</v>
      </c>
      <c r="B72" s="3" t="str">
        <f>INDEX('Nueva (V11)'!$B:$B,MATCH($C72,'Nueva (V11)'!$B:$B,0),1)</f>
        <v>H7461208--E3066917</v>
      </c>
      <c r="C72" s="3" t="str">
        <f>_xlfn.TEXTJOIN("-",FALSE,$D72,$J72,$K72)</f>
        <v>H7461208--E3066917</v>
      </c>
      <c r="D72" s="2" t="s">
        <v>904</v>
      </c>
      <c r="E72" s="2" t="s">
        <v>905</v>
      </c>
      <c r="F72" s="2" t="s">
        <v>906</v>
      </c>
      <c r="G72" s="2" t="s">
        <v>907</v>
      </c>
      <c r="H72" s="2" t="s">
        <v>2255</v>
      </c>
      <c r="I72" s="2" t="s">
        <v>908</v>
      </c>
      <c r="J72" s="2"/>
      <c r="K72" s="2" t="s">
        <v>909</v>
      </c>
      <c r="L72" s="2" t="s">
        <v>2256</v>
      </c>
      <c r="M72" s="2"/>
      <c r="N72" s="2" t="s">
        <v>910</v>
      </c>
      <c r="O72" s="2"/>
      <c r="P72" s="2" t="s">
        <v>642</v>
      </c>
      <c r="Q72" s="2"/>
      <c r="R72" s="2" t="s">
        <v>44</v>
      </c>
      <c r="S72" s="2"/>
      <c r="T72" s="2"/>
      <c r="U72" s="2" t="s">
        <v>2038</v>
      </c>
    </row>
    <row r="73" spans="1:21" ht="30" hidden="1" x14ac:dyDescent="0.25">
      <c r="A73" s="3" t="str">
        <f>INDEX('Correg (V1)'!$B:$B,MATCH($C73,'Correg (V1)'!$B:$B,0),1)</f>
        <v>H9345495--J9332943</v>
      </c>
      <c r="B73" s="3" t="e">
        <f>INDEX('Nueva (V11)'!$B:$B,MATCH($C73,'Nueva (V11)'!$B:$B,0),1)</f>
        <v>#N/A</v>
      </c>
      <c r="C73" s="3" t="str">
        <f>_xlfn.TEXTJOIN("-",FALSE,$D73,$J73,$K73)</f>
        <v>H9345495--J9332943</v>
      </c>
      <c r="D73" s="2" t="s">
        <v>1151</v>
      </c>
      <c r="E73" s="2" t="s">
        <v>1152</v>
      </c>
      <c r="F73" s="2" t="s">
        <v>1153</v>
      </c>
      <c r="G73" s="2" t="s">
        <v>1154</v>
      </c>
      <c r="H73" s="2" t="s">
        <v>2370</v>
      </c>
      <c r="I73" s="2" t="s">
        <v>1155</v>
      </c>
      <c r="J73" s="2"/>
      <c r="K73" s="2" t="s">
        <v>1156</v>
      </c>
      <c r="L73" s="2" t="s">
        <v>2371</v>
      </c>
      <c r="M73" s="2"/>
      <c r="N73" s="2" t="s">
        <v>564</v>
      </c>
      <c r="O73" s="2"/>
      <c r="P73" s="2" t="s">
        <v>1157</v>
      </c>
      <c r="Q73" s="2"/>
      <c r="R73" s="2" t="s">
        <v>1158</v>
      </c>
      <c r="S73" s="2"/>
      <c r="T73" s="2"/>
      <c r="U73" s="2" t="s">
        <v>47</v>
      </c>
    </row>
    <row r="74" spans="1:21" hidden="1" x14ac:dyDescent="0.25">
      <c r="A74" s="3" t="str">
        <f>INDEX('Correg (V1)'!$B:$B,MATCH($C74,'Correg (V1)'!$B:$B,0),1)</f>
        <v>I1096541-I1096541-</v>
      </c>
      <c r="B74" s="3" t="str">
        <f>INDEX('Nueva (V11)'!$B:$B,MATCH($C74,'Nueva (V11)'!$B:$B,0),1)</f>
        <v>I1096541-I1096541-</v>
      </c>
      <c r="C74" s="3" t="str">
        <f>_xlfn.TEXTJOIN("-",FALSE,$D74,$J74,$K74)</f>
        <v>I1096541-I1096541-</v>
      </c>
      <c r="D74" s="2" t="s">
        <v>584</v>
      </c>
      <c r="E74" s="2" t="s">
        <v>585</v>
      </c>
      <c r="F74" s="2" t="s">
        <v>586</v>
      </c>
      <c r="G74" s="2" t="s">
        <v>587</v>
      </c>
      <c r="H74" s="2" t="s">
        <v>2142</v>
      </c>
      <c r="I74" s="2" t="s">
        <v>588</v>
      </c>
      <c r="J74" s="2" t="s">
        <v>584</v>
      </c>
      <c r="K74" s="2"/>
      <c r="L74" s="2" t="s">
        <v>2143</v>
      </c>
      <c r="M74" s="2" t="s">
        <v>585</v>
      </c>
      <c r="N74" s="2"/>
      <c r="O74" s="2" t="s">
        <v>586</v>
      </c>
      <c r="P74" s="2"/>
      <c r="Q74" s="2" t="s">
        <v>587</v>
      </c>
      <c r="R74" s="2"/>
      <c r="S74" s="2"/>
      <c r="T74" s="2"/>
      <c r="U74" s="2" t="s">
        <v>2038</v>
      </c>
    </row>
    <row r="75" spans="1:21" hidden="1" x14ac:dyDescent="0.25">
      <c r="A75" s="3" t="str">
        <f>INDEX('Correg (V1)'!$B:$B,MATCH($C75,'Correg (V1)'!$B:$B,0),1)</f>
        <v>I2569958--P6842735</v>
      </c>
      <c r="B75" s="3" t="e">
        <f>INDEX('Nueva (V11)'!$B:$B,MATCH($C75,'Nueva (V11)'!$B:$B,0),1)</f>
        <v>#N/A</v>
      </c>
      <c r="C75" s="3" t="str">
        <f>_xlfn.TEXTJOIN("-",FALSE,$D75,$J75,$K75)</f>
        <v>I2569958--P6842735</v>
      </c>
      <c r="D75" s="2" t="s">
        <v>1099</v>
      </c>
      <c r="E75" s="2" t="s">
        <v>73</v>
      </c>
      <c r="F75" s="2" t="s">
        <v>692</v>
      </c>
      <c r="G75" s="2" t="s">
        <v>1100</v>
      </c>
      <c r="H75" s="2" t="s">
        <v>2346</v>
      </c>
      <c r="I75" s="2" t="s">
        <v>2346</v>
      </c>
      <c r="J75" s="2"/>
      <c r="K75" s="2" t="s">
        <v>641</v>
      </c>
      <c r="L75" s="2" t="s">
        <v>2164</v>
      </c>
      <c r="M75" s="2"/>
      <c r="N75" s="2" t="s">
        <v>58</v>
      </c>
      <c r="O75" s="2"/>
      <c r="P75" s="2" t="s">
        <v>642</v>
      </c>
      <c r="Q75" s="2"/>
      <c r="R75" s="2" t="s">
        <v>643</v>
      </c>
      <c r="S75" s="2"/>
      <c r="T75" s="2"/>
      <c r="U75" s="2" t="s">
        <v>2083</v>
      </c>
    </row>
    <row r="76" spans="1:21" ht="30" hidden="1" x14ac:dyDescent="0.25">
      <c r="A76" s="3" t="str">
        <f>INDEX('Correg (V1)'!$B:$B,MATCH($C76,'Correg (V1)'!$B:$B,0),1)</f>
        <v>I6567006--J1842217</v>
      </c>
      <c r="B76" s="3" t="str">
        <f>INDEX('Nueva (V11)'!$B:$B,MATCH($C76,'Nueva (V11)'!$B:$B,0),1)</f>
        <v>I6567006--J1842217</v>
      </c>
      <c r="C76" s="3" t="str">
        <f>_xlfn.TEXTJOIN("-",FALSE,$D76,$J76,$K76)</f>
        <v>I6567006--J1842217</v>
      </c>
      <c r="D76" s="2" t="s">
        <v>619</v>
      </c>
      <c r="E76" s="2" t="s">
        <v>620</v>
      </c>
      <c r="F76" s="2" t="s">
        <v>621</v>
      </c>
      <c r="G76" s="2" t="s">
        <v>622</v>
      </c>
      <c r="H76" s="2" t="s">
        <v>2156</v>
      </c>
      <c r="I76" s="2" t="s">
        <v>635</v>
      </c>
      <c r="J76" s="2"/>
      <c r="K76" s="2" t="s">
        <v>457</v>
      </c>
      <c r="L76" s="2" t="s">
        <v>2087</v>
      </c>
      <c r="M76" s="2"/>
      <c r="N76" s="2" t="s">
        <v>458</v>
      </c>
      <c r="O76" s="2"/>
      <c r="P76" s="2" t="s">
        <v>459</v>
      </c>
      <c r="Q76" s="2"/>
      <c r="R76" s="2" t="s">
        <v>460</v>
      </c>
      <c r="S76" s="2"/>
      <c r="T76" s="2"/>
      <c r="U76" s="2" t="s">
        <v>2083</v>
      </c>
    </row>
    <row r="77" spans="1:21" ht="45" hidden="1" x14ac:dyDescent="0.25">
      <c r="A77" s="3" t="str">
        <f>INDEX('Correg (V1)'!$B:$B,MATCH($C77,'Correg (V1)'!$B:$B,0),1)</f>
        <v>I6825354-I6825354-</v>
      </c>
      <c r="B77" s="3" t="str">
        <f>INDEX('Nueva (V11)'!$B:$B,MATCH($C77,'Nueva (V11)'!$B:$B,0),1)</f>
        <v>I6825354-I6825354-</v>
      </c>
      <c r="C77" s="3" t="str">
        <f>_xlfn.TEXTJOIN("-",FALSE,$D77,$J77,$K77)</f>
        <v>I6825354-I6825354-</v>
      </c>
      <c r="D77" s="2" t="s">
        <v>491</v>
      </c>
      <c r="E77" s="2" t="s">
        <v>492</v>
      </c>
      <c r="F77" s="2" t="s">
        <v>493</v>
      </c>
      <c r="G77" s="2" t="s">
        <v>60</v>
      </c>
      <c r="H77" s="2" t="s">
        <v>2102</v>
      </c>
      <c r="I77" s="2" t="s">
        <v>494</v>
      </c>
      <c r="J77" s="2" t="s">
        <v>491</v>
      </c>
      <c r="K77" s="2"/>
      <c r="L77" s="2" t="s">
        <v>2103</v>
      </c>
      <c r="M77" s="2" t="s">
        <v>492</v>
      </c>
      <c r="N77" s="2"/>
      <c r="O77" s="2" t="s">
        <v>493</v>
      </c>
      <c r="P77" s="2"/>
      <c r="Q77" s="2" t="s">
        <v>60</v>
      </c>
      <c r="R77" s="2"/>
      <c r="S77" s="2"/>
      <c r="T77" s="2"/>
      <c r="U77" s="2" t="s">
        <v>2083</v>
      </c>
    </row>
    <row r="78" spans="1:21" hidden="1" x14ac:dyDescent="0.25">
      <c r="A78" s="3" t="str">
        <f>INDEX('Correg (V1)'!$B:$B,MATCH($C78,'Correg (V1)'!$B:$B,0),1)</f>
        <v>I7600760-I7600760-</v>
      </c>
      <c r="B78" s="3" t="str">
        <f>INDEX('Nueva (V11)'!$B:$B,MATCH($C78,'Nueva (V11)'!$B:$B,0),1)</f>
        <v>I7600760-I7600760-</v>
      </c>
      <c r="C78" s="3" t="str">
        <f>_xlfn.TEXTJOIN("-",FALSE,$D78,$J78,$K78)</f>
        <v>I7600760-I7600760-</v>
      </c>
      <c r="D78" s="2" t="s">
        <v>822</v>
      </c>
      <c r="E78" s="2" t="s">
        <v>823</v>
      </c>
      <c r="F78" s="2" t="s">
        <v>824</v>
      </c>
      <c r="G78" s="2" t="s">
        <v>825</v>
      </c>
      <c r="H78" s="2" t="s">
        <v>2229</v>
      </c>
      <c r="I78" s="2" t="s">
        <v>879</v>
      </c>
      <c r="J78" s="2" t="s">
        <v>822</v>
      </c>
      <c r="K78" s="2"/>
      <c r="L78" s="2" t="s">
        <v>2244</v>
      </c>
      <c r="M78" s="2" t="s">
        <v>823</v>
      </c>
      <c r="N78" s="2"/>
      <c r="O78" s="2" t="s">
        <v>824</v>
      </c>
      <c r="P78" s="2"/>
      <c r="Q78" s="2" t="s">
        <v>825</v>
      </c>
      <c r="R78" s="2"/>
      <c r="S78" s="2"/>
      <c r="T78" s="2"/>
      <c r="U78" s="2" t="s">
        <v>2083</v>
      </c>
    </row>
    <row r="79" spans="1:21" hidden="1" x14ac:dyDescent="0.25">
      <c r="A79" s="3" t="str">
        <f>INDEX('Correg (V1)'!$B:$B,MATCH($C79,'Correg (V1)'!$B:$B,0),1)</f>
        <v>I7906159--A7005471</v>
      </c>
      <c r="B79" s="3" t="e">
        <f>INDEX('Nueva (V11)'!$B:$B,MATCH($C79,'Nueva (V11)'!$B:$B,0),1)</f>
        <v>#N/A</v>
      </c>
      <c r="C79" s="3" t="str">
        <f>_xlfn.TEXTJOIN("-",FALSE,$D79,$J79,$K79)</f>
        <v>I7906159--A7005471</v>
      </c>
      <c r="D79" s="2" t="s">
        <v>1004</v>
      </c>
      <c r="E79" s="2" t="s">
        <v>73</v>
      </c>
      <c r="F79" s="2" t="s">
        <v>493</v>
      </c>
      <c r="G79" s="2" t="s">
        <v>1005</v>
      </c>
      <c r="H79" s="2" t="s">
        <v>2299</v>
      </c>
      <c r="I79" s="2" t="s">
        <v>2299</v>
      </c>
      <c r="J79" s="2"/>
      <c r="K79" s="2" t="s">
        <v>780</v>
      </c>
      <c r="L79" s="2" t="s">
        <v>2215</v>
      </c>
      <c r="M79" s="2"/>
      <c r="N79" s="2" t="s">
        <v>781</v>
      </c>
      <c r="O79" s="2"/>
      <c r="P79" s="2" t="s">
        <v>493</v>
      </c>
      <c r="Q79" s="2"/>
      <c r="R79" s="2" t="s">
        <v>74</v>
      </c>
      <c r="S79" s="2"/>
      <c r="T79" s="2"/>
      <c r="U79" s="2" t="s">
        <v>2083</v>
      </c>
    </row>
    <row r="80" spans="1:21" hidden="1" x14ac:dyDescent="0.25">
      <c r="A80" s="3" t="str">
        <f>INDEX('Correg (V1)'!$B:$B,MATCH($C80,'Correg (V1)'!$B:$B,0),1)</f>
        <v>I8301604-I8301604-</v>
      </c>
      <c r="B80" s="3" t="str">
        <f>INDEX('Nueva (V11)'!$B:$B,MATCH($C80,'Nueva (V11)'!$B:$B,0),1)</f>
        <v>I8301604-I8301604-</v>
      </c>
      <c r="C80" s="3" t="str">
        <f>_xlfn.TEXTJOIN("-",FALSE,$D80,$J80,$K80)</f>
        <v>I8301604-I8301604-</v>
      </c>
      <c r="D80" s="2" t="s">
        <v>72</v>
      </c>
      <c r="E80" s="2" t="s">
        <v>73</v>
      </c>
      <c r="F80" s="2" t="s">
        <v>74</v>
      </c>
      <c r="G80" s="2" t="s">
        <v>8</v>
      </c>
      <c r="H80" s="2" t="s">
        <v>2063</v>
      </c>
      <c r="I80" s="2" t="s">
        <v>75</v>
      </c>
      <c r="J80" s="2" t="s">
        <v>72</v>
      </c>
      <c r="K80" s="2"/>
      <c r="L80" s="2" t="s">
        <v>2064</v>
      </c>
      <c r="M80" s="2" t="s">
        <v>73</v>
      </c>
      <c r="N80" s="2"/>
      <c r="O80" s="2" t="s">
        <v>74</v>
      </c>
      <c r="P80" s="2"/>
      <c r="Q80" s="2" t="s">
        <v>8</v>
      </c>
      <c r="R80" s="2"/>
      <c r="S80" s="2"/>
      <c r="T80" s="2"/>
      <c r="U80" s="2" t="s">
        <v>47</v>
      </c>
    </row>
    <row r="81" spans="1:21" hidden="1" x14ac:dyDescent="0.25">
      <c r="A81" s="3" t="str">
        <f>INDEX('Correg (V1)'!$B:$B,MATCH($C81,'Correg (V1)'!$B:$B,0),1)</f>
        <v>I9027151-I9027151-</v>
      </c>
      <c r="B81" s="3" t="str">
        <f>INDEX('Nueva (V11)'!$B:$B,MATCH($C81,'Nueva (V11)'!$B:$B,0),1)</f>
        <v>I9027151-I9027151-</v>
      </c>
      <c r="C81" s="3" t="str">
        <f>_xlfn.TEXTJOIN("-",FALSE,$D81,$J81,$K81)</f>
        <v>I9027151-I9027151-</v>
      </c>
      <c r="D81" s="2" t="s">
        <v>482</v>
      </c>
      <c r="E81" s="2" t="s">
        <v>73</v>
      </c>
      <c r="F81" s="2" t="s">
        <v>483</v>
      </c>
      <c r="G81" s="2" t="s">
        <v>60</v>
      </c>
      <c r="H81" s="2" t="s">
        <v>2097</v>
      </c>
      <c r="I81" s="2" t="s">
        <v>484</v>
      </c>
      <c r="J81" s="2" t="s">
        <v>482</v>
      </c>
      <c r="K81" s="2"/>
      <c r="L81" s="2" t="s">
        <v>2098</v>
      </c>
      <c r="M81" s="2" t="s">
        <v>73</v>
      </c>
      <c r="N81" s="2"/>
      <c r="O81" s="2" t="s">
        <v>483</v>
      </c>
      <c r="P81" s="2"/>
      <c r="Q81" s="2" t="s">
        <v>60</v>
      </c>
      <c r="R81" s="2"/>
      <c r="S81" s="2"/>
      <c r="T81" s="2"/>
      <c r="U81" s="2" t="s">
        <v>2080</v>
      </c>
    </row>
    <row r="82" spans="1:21" ht="30" hidden="1" x14ac:dyDescent="0.25">
      <c r="A82" s="3" t="str">
        <f>INDEX('Correg (V1)'!$B:$B,MATCH($C82,'Correg (V1)'!$B:$B,0),1)</f>
        <v>J0469011--A4621755</v>
      </c>
      <c r="B82" s="3" t="str">
        <f>INDEX('Nueva (V11)'!$B:$B,MATCH($C82,'Nueva (V11)'!$B:$B,0),1)</f>
        <v>J0469011--A4621755</v>
      </c>
      <c r="C82" s="3" t="str">
        <f>_xlfn.TEXTJOIN("-",FALSE,$D82,$J82,$K82)</f>
        <v>J0469011--A4621755</v>
      </c>
      <c r="D82" s="2" t="s">
        <v>755</v>
      </c>
      <c r="E82" s="2" t="s">
        <v>147</v>
      </c>
      <c r="F82" s="2" t="s">
        <v>444</v>
      </c>
      <c r="G82" s="2" t="s">
        <v>44</v>
      </c>
      <c r="H82" s="2" t="s">
        <v>2206</v>
      </c>
      <c r="I82" s="2" t="s">
        <v>756</v>
      </c>
      <c r="J82" s="2"/>
      <c r="K82" s="2" t="s">
        <v>757</v>
      </c>
      <c r="L82" s="2" t="s">
        <v>2207</v>
      </c>
      <c r="M82" s="2"/>
      <c r="N82" s="2" t="s">
        <v>758</v>
      </c>
      <c r="O82" s="2"/>
      <c r="P82" s="2" t="s">
        <v>759</v>
      </c>
      <c r="Q82" s="2"/>
      <c r="R82" s="2" t="s">
        <v>760</v>
      </c>
      <c r="S82" s="2"/>
      <c r="T82" s="2"/>
      <c r="U82" s="2" t="s">
        <v>2038</v>
      </c>
    </row>
    <row r="83" spans="1:21" ht="30" hidden="1" x14ac:dyDescent="0.25">
      <c r="A83" s="3" t="str">
        <f>INDEX('Correg (V1)'!$B:$B,MATCH($C83,'Correg (V1)'!$B:$B,0),1)</f>
        <v>J0717255--I6567006</v>
      </c>
      <c r="B83" s="3" t="str">
        <f>INDEX('Nueva (V11)'!$B:$B,MATCH($C83,'Nueva (V11)'!$B:$B,0),1)</f>
        <v>J0717255--I6567006</v>
      </c>
      <c r="C83" s="3" t="str">
        <f>_xlfn.TEXTJOIN("-",FALSE,$D83,$J83,$K83)</f>
        <v>J0717255--I6567006</v>
      </c>
      <c r="D83" s="2" t="s">
        <v>615</v>
      </c>
      <c r="E83" s="2" t="s">
        <v>490</v>
      </c>
      <c r="F83" s="2" t="s">
        <v>616</v>
      </c>
      <c r="G83" s="2" t="s">
        <v>617</v>
      </c>
      <c r="H83" s="2" t="s">
        <v>2155</v>
      </c>
      <c r="I83" s="2" t="s">
        <v>618</v>
      </c>
      <c r="J83" s="2"/>
      <c r="K83" s="2" t="s">
        <v>619</v>
      </c>
      <c r="L83" s="2" t="s">
        <v>2156</v>
      </c>
      <c r="M83" s="2"/>
      <c r="N83" s="2" t="s">
        <v>620</v>
      </c>
      <c r="O83" s="2"/>
      <c r="P83" s="2" t="s">
        <v>621</v>
      </c>
      <c r="Q83" s="2"/>
      <c r="R83" s="2" t="s">
        <v>622</v>
      </c>
      <c r="S83" s="2"/>
      <c r="T83" s="2"/>
      <c r="U83" s="2" t="s">
        <v>2083</v>
      </c>
    </row>
    <row r="84" spans="1:21" hidden="1" x14ac:dyDescent="0.25">
      <c r="A84" s="5" t="e">
        <f>INDEX('Correg (V1)'!$B:$B,MATCH($C84,'Correg (V1)'!$B:$B,0),1)</f>
        <v>#N/A</v>
      </c>
      <c r="B84" s="3" t="e">
        <f>INDEX('Nueva (V11)'!$B:$B,MATCH($C84,'Nueva (V11)'!$B:$B,0),1)</f>
        <v>#N/A</v>
      </c>
      <c r="C84" s="3" t="str">
        <f>_xlfn.TEXTJOIN("-",FALSE,$D84,$J84,$K84)</f>
        <v>J1002613--F6254996</v>
      </c>
      <c r="D84" s="2" t="s">
        <v>495</v>
      </c>
      <c r="E84" s="2" t="s">
        <v>173</v>
      </c>
      <c r="F84" s="2" t="s">
        <v>12</v>
      </c>
      <c r="G84" s="2" t="s">
        <v>496</v>
      </c>
      <c r="H84" s="2" t="s">
        <v>2104</v>
      </c>
      <c r="I84" s="2" t="s">
        <v>497</v>
      </c>
      <c r="J84" s="2"/>
      <c r="K84" s="2" t="s">
        <v>498</v>
      </c>
      <c r="L84" s="2" t="s">
        <v>2105</v>
      </c>
      <c r="M84" s="2"/>
      <c r="N84" s="2" t="s">
        <v>499</v>
      </c>
      <c r="O84" s="2"/>
      <c r="P84" s="2" t="s">
        <v>74</v>
      </c>
      <c r="Q84" s="2"/>
      <c r="R84" s="2" t="s">
        <v>500</v>
      </c>
      <c r="S84" s="2"/>
      <c r="T84" s="2"/>
      <c r="U84" s="2" t="s">
        <v>2071</v>
      </c>
    </row>
    <row r="85" spans="1:21" hidden="1" x14ac:dyDescent="0.25">
      <c r="A85" s="3" t="str">
        <f>INDEX('Correg (V1)'!$B:$B,MATCH($C85,'Correg (V1)'!$B:$B,0),1)</f>
        <v>J1776207-J1776207-</v>
      </c>
      <c r="B85" s="3" t="str">
        <f>INDEX('Nueva (V11)'!$B:$B,MATCH($C85,'Nueva (V11)'!$B:$B,0),1)</f>
        <v>J1776207-J1776207-</v>
      </c>
      <c r="C85" s="3" t="str">
        <f>_xlfn.TEXTJOIN("-",FALSE,$D85,$J85,$K85)</f>
        <v>J1776207-J1776207-</v>
      </c>
      <c r="D85" s="2" t="s">
        <v>502</v>
      </c>
      <c r="E85" s="2" t="s">
        <v>438</v>
      </c>
      <c r="F85" s="2" t="s">
        <v>503</v>
      </c>
      <c r="G85" s="2" t="s">
        <v>504</v>
      </c>
      <c r="H85" s="2" t="s">
        <v>2107</v>
      </c>
      <c r="I85" s="2" t="s">
        <v>505</v>
      </c>
      <c r="J85" s="2" t="s">
        <v>502</v>
      </c>
      <c r="K85" s="2"/>
      <c r="L85" s="2" t="s">
        <v>2108</v>
      </c>
      <c r="M85" s="2" t="s">
        <v>438</v>
      </c>
      <c r="N85" s="2"/>
      <c r="O85" s="2" t="s">
        <v>503</v>
      </c>
      <c r="P85" s="2"/>
      <c r="Q85" s="2" t="s">
        <v>504</v>
      </c>
      <c r="R85" s="2"/>
      <c r="S85" s="2"/>
      <c r="T85" s="2"/>
      <c r="U85" s="2" t="s">
        <v>2071</v>
      </c>
    </row>
    <row r="86" spans="1:21" ht="30" hidden="1" x14ac:dyDescent="0.25">
      <c r="A86" s="3" t="str">
        <f>INDEX('Correg (V1)'!$B:$B,MATCH($C86,'Correg (V1)'!$B:$B,0),1)</f>
        <v>J1842217-J1842217-</v>
      </c>
      <c r="B86" s="3" t="str">
        <f>INDEX('Nueva (V11)'!$B:$B,MATCH($C86,'Nueva (V11)'!$B:$B,0),1)</f>
        <v>J1842217-J1842217-</v>
      </c>
      <c r="C86" s="3" t="str">
        <f>_xlfn.TEXTJOIN("-",FALSE,$D86,$J86,$K86)</f>
        <v>J1842217-J1842217-</v>
      </c>
      <c r="D86" s="2" t="s">
        <v>457</v>
      </c>
      <c r="E86" s="2" t="s">
        <v>458</v>
      </c>
      <c r="F86" s="2" t="s">
        <v>459</v>
      </c>
      <c r="G86" s="2" t="s">
        <v>460</v>
      </c>
      <c r="H86" s="2" t="s">
        <v>2087</v>
      </c>
      <c r="I86" s="2" t="s">
        <v>614</v>
      </c>
      <c r="J86" s="2" t="s">
        <v>457</v>
      </c>
      <c r="K86" s="2"/>
      <c r="L86" s="2" t="s">
        <v>2154</v>
      </c>
      <c r="M86" s="2" t="s">
        <v>458</v>
      </c>
      <c r="N86" s="2"/>
      <c r="O86" s="2" t="s">
        <v>459</v>
      </c>
      <c r="P86" s="2"/>
      <c r="Q86" s="2" t="s">
        <v>460</v>
      </c>
      <c r="R86" s="2"/>
      <c r="S86" s="2"/>
      <c r="T86" s="2"/>
      <c r="U86" s="2" t="s">
        <v>2083</v>
      </c>
    </row>
    <row r="87" spans="1:21" ht="30" hidden="1" x14ac:dyDescent="0.25">
      <c r="A87" s="3" t="str">
        <f>INDEX('Correg (V1)'!$B:$B,MATCH($C87,'Correg (V1)'!$B:$B,0),1)</f>
        <v>J2161690-J2161690-</v>
      </c>
      <c r="B87" s="3" t="str">
        <f>INDEX('Nueva (V11)'!$B:$B,MATCH($C87,'Nueva (V11)'!$B:$B,0),1)</f>
        <v>J2161690-J2161690-</v>
      </c>
      <c r="C87" s="3" t="str">
        <f>_xlfn.TEXTJOIN("-",FALSE,$D87,$J87,$K87)</f>
        <v>J2161690-J2161690-</v>
      </c>
      <c r="D87" s="2" t="s">
        <v>470</v>
      </c>
      <c r="E87" s="2" t="s">
        <v>458</v>
      </c>
      <c r="F87" s="2" t="s">
        <v>8</v>
      </c>
      <c r="G87" s="2" t="s">
        <v>471</v>
      </c>
      <c r="H87" s="2" t="s">
        <v>2091</v>
      </c>
      <c r="I87" s="2" t="s">
        <v>485</v>
      </c>
      <c r="J87" s="2" t="s">
        <v>470</v>
      </c>
      <c r="K87" s="2"/>
      <c r="L87" s="2" t="s">
        <v>2099</v>
      </c>
      <c r="M87" s="2" t="s">
        <v>458</v>
      </c>
      <c r="N87" s="2"/>
      <c r="O87" s="2" t="s">
        <v>8</v>
      </c>
      <c r="P87" s="2"/>
      <c r="Q87" s="2" t="s">
        <v>471</v>
      </c>
      <c r="R87" s="2"/>
      <c r="S87" s="2"/>
      <c r="T87" s="2"/>
      <c r="U87" s="2" t="s">
        <v>2080</v>
      </c>
    </row>
    <row r="88" spans="1:21" ht="30" hidden="1" x14ac:dyDescent="0.25">
      <c r="A88" s="3" t="str">
        <f>INDEX('Correg (V1)'!$B:$B,MATCH($C88,'Correg (V1)'!$B:$B,0),1)</f>
        <v>J2702276--J7231919</v>
      </c>
      <c r="B88" s="3" t="str">
        <f>INDEX('Nueva (V11)'!$B:$B,MATCH($C88,'Nueva (V11)'!$B:$B,0),1)</f>
        <v>J2702276--J7231919</v>
      </c>
      <c r="C88" s="3" t="str">
        <f>_xlfn.TEXTJOIN("-",FALSE,$D88,$J88,$K88)</f>
        <v>J2702276--J7231919</v>
      </c>
      <c r="D88" s="2" t="s">
        <v>678</v>
      </c>
      <c r="E88" s="2" t="s">
        <v>679</v>
      </c>
      <c r="F88" s="2" t="s">
        <v>493</v>
      </c>
      <c r="G88" s="2" t="s">
        <v>680</v>
      </c>
      <c r="H88" s="2" t="s">
        <v>2176</v>
      </c>
      <c r="I88" s="2" t="s">
        <v>681</v>
      </c>
      <c r="J88" s="2"/>
      <c r="K88" s="2" t="s">
        <v>682</v>
      </c>
      <c r="L88" s="2" t="s">
        <v>2177</v>
      </c>
      <c r="M88" s="2"/>
      <c r="N88" s="2" t="s">
        <v>438</v>
      </c>
      <c r="O88" s="2"/>
      <c r="P88" s="2" t="s">
        <v>683</v>
      </c>
      <c r="Q88" s="2"/>
      <c r="R88" s="2" t="s">
        <v>684</v>
      </c>
      <c r="S88" s="2"/>
      <c r="T88" s="2"/>
      <c r="U88" s="2" t="s">
        <v>2046</v>
      </c>
    </row>
    <row r="89" spans="1:21" hidden="1" x14ac:dyDescent="0.25">
      <c r="A89" s="3" t="str">
        <f>INDEX('Correg (V1)'!$B:$B,MATCH($C89,'Correg (V1)'!$B:$B,0),1)</f>
        <v>J2778182--V9086179</v>
      </c>
      <c r="B89" s="3" t="str">
        <f>INDEX('Nueva (V11)'!$B:$B,MATCH($C89,'Nueva (V11)'!$B:$B,0),1)</f>
        <v>J2778182--V9086179</v>
      </c>
      <c r="C89" s="3" t="str">
        <f>_xlfn.TEXTJOIN("-",FALSE,$D89,$J89,$K89)</f>
        <v>J2778182--V9086179</v>
      </c>
      <c r="D89" s="2" t="s">
        <v>707</v>
      </c>
      <c r="E89" s="2" t="s">
        <v>173</v>
      </c>
      <c r="F89" s="2" t="s">
        <v>557</v>
      </c>
      <c r="G89" s="2" t="s">
        <v>708</v>
      </c>
      <c r="H89" s="2" t="s">
        <v>2186</v>
      </c>
      <c r="I89" s="2" t="s">
        <v>709</v>
      </c>
      <c r="J89" s="2"/>
      <c r="K89" s="2" t="s">
        <v>710</v>
      </c>
      <c r="L89" s="2" t="s">
        <v>2187</v>
      </c>
      <c r="M89" s="2"/>
      <c r="N89" s="2" t="s">
        <v>711</v>
      </c>
      <c r="O89" s="2"/>
      <c r="P89" s="2" t="s">
        <v>700</v>
      </c>
      <c r="Q89" s="2"/>
      <c r="R89" s="2" t="s">
        <v>712</v>
      </c>
      <c r="S89" s="2"/>
      <c r="T89" s="2"/>
      <c r="U89" s="2" t="s">
        <v>2083</v>
      </c>
    </row>
    <row r="90" spans="1:21" hidden="1" x14ac:dyDescent="0.25">
      <c r="A90" s="3" t="str">
        <f>INDEX('Correg (V1)'!$B:$B,MATCH($C90,'Correg (V1)'!$B:$B,0),1)</f>
        <v>J3490141--I6825354</v>
      </c>
      <c r="B90" s="3" t="str">
        <f>INDEX('Nueva (V11)'!$B:$B,MATCH($C90,'Nueva (V11)'!$B:$B,0),1)</f>
        <v>J3490141--I6825354</v>
      </c>
      <c r="C90" s="3" t="str">
        <f>_xlfn.TEXTJOIN("-",FALSE,$D90,$J90,$K90)</f>
        <v>J3490141--I6825354</v>
      </c>
      <c r="D90" s="2" t="s">
        <v>594</v>
      </c>
      <c r="E90" s="2" t="s">
        <v>438</v>
      </c>
      <c r="F90" s="2" t="s">
        <v>595</v>
      </c>
      <c r="G90" s="2" t="s">
        <v>596</v>
      </c>
      <c r="H90" s="2" t="s">
        <v>2146</v>
      </c>
      <c r="I90" s="2" t="s">
        <v>597</v>
      </c>
      <c r="J90" s="2"/>
      <c r="K90" s="2" t="s">
        <v>491</v>
      </c>
      <c r="L90" s="2" t="s">
        <v>2102</v>
      </c>
      <c r="M90" s="2"/>
      <c r="N90" s="2" t="s">
        <v>492</v>
      </c>
      <c r="O90" s="2"/>
      <c r="P90" s="2" t="s">
        <v>493</v>
      </c>
      <c r="Q90" s="2"/>
      <c r="R90" s="2" t="s">
        <v>60</v>
      </c>
      <c r="S90" s="2"/>
      <c r="T90" s="2"/>
      <c r="U90" s="2" t="s">
        <v>2083</v>
      </c>
    </row>
    <row r="91" spans="1:21" ht="30" hidden="1" x14ac:dyDescent="0.25">
      <c r="A91" s="3" t="str">
        <f>INDEX('Correg (V1)'!$B:$B,MATCH($C91,'Correg (V1)'!$B:$B,0),1)</f>
        <v>J3577552-J3577552-</v>
      </c>
      <c r="B91" s="3" t="e">
        <f>INDEX('Nueva (V11)'!$B:$B,MATCH($C91,'Nueva (V11)'!$B:$B,0),1)</f>
        <v>#N/A</v>
      </c>
      <c r="C91" s="3" t="str">
        <f>_xlfn.TEXTJOIN("-",FALSE,$D91,$J91,$K91)</f>
        <v>J3577552-J3577552-</v>
      </c>
      <c r="D91" s="2" t="s">
        <v>1046</v>
      </c>
      <c r="E91" s="2" t="s">
        <v>661</v>
      </c>
      <c r="F91" s="2" t="s">
        <v>1047</v>
      </c>
      <c r="G91" s="2" t="s">
        <v>1048</v>
      </c>
      <c r="H91" s="2" t="s">
        <v>2322</v>
      </c>
      <c r="I91" s="2" t="s">
        <v>1049</v>
      </c>
      <c r="J91" s="2" t="s">
        <v>1046</v>
      </c>
      <c r="K91" s="2"/>
      <c r="L91" s="2" t="s">
        <v>2323</v>
      </c>
      <c r="M91" s="2" t="s">
        <v>661</v>
      </c>
      <c r="N91" s="2"/>
      <c r="O91" s="2" t="s">
        <v>1047</v>
      </c>
      <c r="P91" s="2"/>
      <c r="Q91" s="2" t="s">
        <v>1048</v>
      </c>
      <c r="R91" s="2"/>
      <c r="S91" s="2"/>
      <c r="T91" s="2"/>
      <c r="U91" s="2" t="s">
        <v>2071</v>
      </c>
    </row>
    <row r="92" spans="1:21" ht="30" hidden="1" x14ac:dyDescent="0.25">
      <c r="A92" s="3" t="str">
        <f>INDEX('Correg (V1)'!$B:$B,MATCH($C92,'Correg (V1)'!$B:$B,0),1)</f>
        <v>J4045964-J4045964-</v>
      </c>
      <c r="B92" s="3" t="str">
        <f>INDEX('Nueva (V11)'!$B:$B,MATCH($C92,'Nueva (V11)'!$B:$B,0),1)</f>
        <v>J4045964-J4045964-</v>
      </c>
      <c r="C92" s="3" t="str">
        <f>_xlfn.TEXTJOIN("-",FALSE,$D92,$J92,$K92)</f>
        <v>J4045964-J4045964-</v>
      </c>
      <c r="D92" s="2" t="s">
        <v>437</v>
      </c>
      <c r="E92" s="2" t="s">
        <v>438</v>
      </c>
      <c r="F92" s="2" t="s">
        <v>439</v>
      </c>
      <c r="G92" s="2" t="s">
        <v>440</v>
      </c>
      <c r="H92" s="2" t="s">
        <v>2078</v>
      </c>
      <c r="I92" s="2" t="s">
        <v>441</v>
      </c>
      <c r="J92" s="2" t="s">
        <v>437</v>
      </c>
      <c r="K92" s="2"/>
      <c r="L92" s="2" t="s">
        <v>2079</v>
      </c>
      <c r="M92" s="2" t="s">
        <v>438</v>
      </c>
      <c r="N92" s="2"/>
      <c r="O92" s="2" t="s">
        <v>439</v>
      </c>
      <c r="P92" s="2"/>
      <c r="Q92" s="2" t="s">
        <v>440</v>
      </c>
      <c r="R92" s="2"/>
      <c r="S92" s="2"/>
      <c r="T92" s="2"/>
      <c r="U92" s="2" t="s">
        <v>2080</v>
      </c>
    </row>
    <row r="93" spans="1:21" ht="30" hidden="1" x14ac:dyDescent="0.25">
      <c r="A93" s="3" t="str">
        <f>INDEX('Correg (V1)'!$B:$B,MATCH($C93,'Correg (V1)'!$B:$B,0),1)</f>
        <v>J4236790-J4236790-</v>
      </c>
      <c r="B93" s="3" t="str">
        <f>INDEX('Nueva (V11)'!$B:$B,MATCH($C93,'Nueva (V11)'!$B:$B,0),1)</f>
        <v>J4236790-J4236790-</v>
      </c>
      <c r="C93" s="3" t="str">
        <f>_xlfn.TEXTJOIN("-",FALSE,$D93,$J93,$K93)</f>
        <v>J4236790-J4236790-</v>
      </c>
      <c r="D93" s="2" t="s">
        <v>555</v>
      </c>
      <c r="E93" s="2" t="s">
        <v>556</v>
      </c>
      <c r="F93" s="2" t="s">
        <v>515</v>
      </c>
      <c r="G93" s="2" t="s">
        <v>557</v>
      </c>
      <c r="H93" s="2" t="s">
        <v>2129</v>
      </c>
      <c r="I93" s="2" t="s">
        <v>558</v>
      </c>
      <c r="J93" s="2" t="s">
        <v>555</v>
      </c>
      <c r="K93" s="2"/>
      <c r="L93" s="2" t="s">
        <v>2130</v>
      </c>
      <c r="M93" s="2" t="s">
        <v>556</v>
      </c>
      <c r="N93" s="2"/>
      <c r="O93" s="2" t="s">
        <v>515</v>
      </c>
      <c r="P93" s="2"/>
      <c r="Q93" s="2" t="s">
        <v>557</v>
      </c>
      <c r="R93" s="2"/>
      <c r="S93" s="2"/>
      <c r="T93" s="2"/>
      <c r="U93" s="2" t="s">
        <v>2071</v>
      </c>
    </row>
    <row r="94" spans="1:21" hidden="1" x14ac:dyDescent="0.25">
      <c r="A94" s="3" t="str">
        <f>INDEX('Correg (V1)'!$B:$B,MATCH($C94,'Correg (V1)'!$B:$B,0),1)</f>
        <v>J4386477-J4386477-</v>
      </c>
      <c r="B94" s="3" t="e">
        <f>INDEX('Nueva (V11)'!$B:$B,MATCH($C94,'Nueva (V11)'!$B:$B,0),1)</f>
        <v>#N/A</v>
      </c>
      <c r="C94" s="3" t="str">
        <f>_xlfn.TEXTJOIN("-",FALSE,$D94,$J94,$K94)</f>
        <v>J4386477-J4386477-</v>
      </c>
      <c r="D94" s="2" t="s">
        <v>977</v>
      </c>
      <c r="E94" s="2" t="s">
        <v>809</v>
      </c>
      <c r="F94" s="2" t="s">
        <v>978</v>
      </c>
      <c r="G94" s="2" t="s">
        <v>105</v>
      </c>
      <c r="H94" s="2" t="s">
        <v>2286</v>
      </c>
      <c r="I94" s="2" t="s">
        <v>979</v>
      </c>
      <c r="J94" s="2" t="s">
        <v>977</v>
      </c>
      <c r="K94" s="2"/>
      <c r="L94" s="2" t="s">
        <v>2287</v>
      </c>
      <c r="M94" s="2" t="s">
        <v>809</v>
      </c>
      <c r="N94" s="2"/>
      <c r="O94" s="2" t="s">
        <v>978</v>
      </c>
      <c r="P94" s="2"/>
      <c r="Q94" s="2" t="s">
        <v>105</v>
      </c>
      <c r="R94" s="2"/>
      <c r="S94" s="2"/>
      <c r="T94" s="2"/>
      <c r="U94" s="2" t="s">
        <v>2038</v>
      </c>
    </row>
    <row r="95" spans="1:21" ht="30" hidden="1" x14ac:dyDescent="0.25">
      <c r="A95" s="3" t="str">
        <f>INDEX('Correg (V1)'!$B:$B,MATCH($C95,'Correg (V1)'!$B:$B,0),1)</f>
        <v>J4844769-ASDV0023-</v>
      </c>
      <c r="B95" s="3" t="str">
        <f>INDEX('Nueva (V11)'!$B:$B,MATCH($C95,'Nueva (V11)'!$B:$B,0),1)</f>
        <v>J4844769-ASDV0023-</v>
      </c>
      <c r="C95" s="3" t="str">
        <f>_xlfn.TEXTJOIN("-",FALSE,$D95,$J95,$K95)</f>
        <v>J4844769-ASDV0023-</v>
      </c>
      <c r="D95" s="2" t="s">
        <v>829</v>
      </c>
      <c r="E95" s="2" t="s">
        <v>776</v>
      </c>
      <c r="F95" s="2" t="s">
        <v>830</v>
      </c>
      <c r="G95" s="2" t="s">
        <v>831</v>
      </c>
      <c r="H95" s="2" t="s">
        <v>2231</v>
      </c>
      <c r="I95" s="2" t="s">
        <v>832</v>
      </c>
      <c r="J95" s="2" t="s">
        <v>833</v>
      </c>
      <c r="K95" s="2"/>
      <c r="L95" s="2" t="s">
        <v>2232</v>
      </c>
      <c r="M95" s="2" t="s">
        <v>650</v>
      </c>
      <c r="N95" s="2"/>
      <c r="O95" s="2" t="s">
        <v>651</v>
      </c>
      <c r="P95" s="2"/>
      <c r="Q95" s="2"/>
      <c r="R95" s="2"/>
      <c r="S95" s="2"/>
      <c r="T95" s="2"/>
      <c r="U95" s="2" t="s">
        <v>2038</v>
      </c>
    </row>
    <row r="96" spans="1:21" ht="30" hidden="1" x14ac:dyDescent="0.25">
      <c r="A96" s="16" t="e">
        <f>INDEX('Correg (V1)'!$B:$B,MATCH($C96,'Correg (V1)'!$B:$B,0),1)</f>
        <v>#N/A</v>
      </c>
      <c r="B96" s="3" t="e">
        <f>INDEX('Nueva (V11)'!$B:$B,MATCH($C96,'Nueva (V11)'!$B:$B,0),1)</f>
        <v>#N/A</v>
      </c>
      <c r="C96" s="3" t="str">
        <f>_xlfn.TEXTJOIN("-",FALSE,$D96,$J96,$K96)</f>
        <v>J4844769-ASFG0023-</v>
      </c>
      <c r="D96" s="2" t="s">
        <v>829</v>
      </c>
      <c r="E96" s="2" t="s">
        <v>776</v>
      </c>
      <c r="F96" s="2" t="s">
        <v>830</v>
      </c>
      <c r="G96" s="2" t="s">
        <v>831</v>
      </c>
      <c r="H96" s="2" t="s">
        <v>2231</v>
      </c>
      <c r="I96" s="2" t="s">
        <v>832</v>
      </c>
      <c r="J96" s="2" t="s">
        <v>834</v>
      </c>
      <c r="K96" s="2"/>
      <c r="L96" s="2" t="s">
        <v>2232</v>
      </c>
      <c r="M96" s="2" t="s">
        <v>650</v>
      </c>
      <c r="N96" s="2"/>
      <c r="O96" s="2" t="s">
        <v>651</v>
      </c>
      <c r="P96" s="2"/>
      <c r="Q96" s="2"/>
      <c r="R96" s="2"/>
      <c r="S96" s="2"/>
      <c r="T96" s="2"/>
      <c r="U96" s="2" t="s">
        <v>2038</v>
      </c>
    </row>
    <row r="97" spans="1:21" ht="30" hidden="1" x14ac:dyDescent="0.25">
      <c r="A97" s="3" t="str">
        <f>INDEX('Correg (V1)'!$B:$B,MATCH($C97,'Correg (V1)'!$B:$B,0),1)</f>
        <v>J4844769-J4844769-</v>
      </c>
      <c r="B97" s="3" t="str">
        <f>INDEX('Nueva (V11)'!$B:$B,MATCH($C97,'Nueva (V11)'!$B:$B,0),1)</f>
        <v>J4844769-J4844769-</v>
      </c>
      <c r="C97" s="3" t="str">
        <f>_xlfn.TEXTJOIN("-",FALSE,$D97,$J97,$K97)</f>
        <v>J4844769-J4844769-</v>
      </c>
      <c r="D97" s="2" t="s">
        <v>829</v>
      </c>
      <c r="E97" s="2" t="s">
        <v>776</v>
      </c>
      <c r="F97" s="2" t="s">
        <v>830</v>
      </c>
      <c r="G97" s="2" t="s">
        <v>831</v>
      </c>
      <c r="H97" s="2" t="s">
        <v>2231</v>
      </c>
      <c r="I97" s="2" t="s">
        <v>832</v>
      </c>
      <c r="J97" s="2" t="s">
        <v>829</v>
      </c>
      <c r="K97" s="2"/>
      <c r="L97" s="2" t="s">
        <v>2232</v>
      </c>
      <c r="M97" s="2" t="s">
        <v>776</v>
      </c>
      <c r="N97" s="2"/>
      <c r="O97" s="2" t="s">
        <v>830</v>
      </c>
      <c r="P97" s="2"/>
      <c r="Q97" s="2" t="s">
        <v>831</v>
      </c>
      <c r="R97" s="2"/>
      <c r="S97" s="2"/>
      <c r="T97" s="2"/>
      <c r="U97" s="2" t="s">
        <v>2038</v>
      </c>
    </row>
    <row r="98" spans="1:21" ht="30" hidden="1" x14ac:dyDescent="0.25">
      <c r="A98" s="16" t="e">
        <f>INDEX('Correg (V1)'!$B:$B,MATCH($C98,'Correg (V1)'!$B:$B,0),1)</f>
        <v>#N/A</v>
      </c>
      <c r="B98" s="3" t="e">
        <f>INDEX('Nueva (V11)'!$B:$B,MATCH($C98,'Nueva (V11)'!$B:$B,0),1)</f>
        <v>#N/A</v>
      </c>
      <c r="C98" s="3" t="str">
        <f>_xlfn.TEXTJOIN("-",FALSE,$D98,$J98,$K98)</f>
        <v>J4844769-SGID0009-</v>
      </c>
      <c r="D98" s="2" t="s">
        <v>829</v>
      </c>
      <c r="E98" s="2" t="s">
        <v>776</v>
      </c>
      <c r="F98" s="2" t="s">
        <v>830</v>
      </c>
      <c r="G98" s="2" t="s">
        <v>831</v>
      </c>
      <c r="H98" s="2" t="s">
        <v>2231</v>
      </c>
      <c r="I98" s="2" t="s">
        <v>832</v>
      </c>
      <c r="J98" s="2" t="s">
        <v>649</v>
      </c>
      <c r="K98" s="2"/>
      <c r="L98" s="2" t="s">
        <v>2232</v>
      </c>
      <c r="M98" s="2" t="s">
        <v>650</v>
      </c>
      <c r="N98" s="2"/>
      <c r="O98" s="2" t="s">
        <v>651</v>
      </c>
      <c r="P98" s="2"/>
      <c r="Q98" s="2"/>
      <c r="R98" s="2"/>
      <c r="S98" s="2"/>
      <c r="T98" s="2"/>
      <c r="U98" s="2" t="s">
        <v>2038</v>
      </c>
    </row>
    <row r="99" spans="1:21" ht="30" hidden="1" x14ac:dyDescent="0.25">
      <c r="A99" s="3" t="str">
        <f>INDEX('Correg (V1)'!$B:$B,MATCH($C99,'Correg (V1)'!$B:$B,0),1)</f>
        <v>J4844769-SGID1234-</v>
      </c>
      <c r="B99" s="3" t="str">
        <f>INDEX('Nueva (V11)'!$B:$B,MATCH($C99,'Nueva (V11)'!$B:$B,0),1)</f>
        <v>J4844769-SGID1234-</v>
      </c>
      <c r="C99" s="3" t="str">
        <f>_xlfn.TEXTJOIN("-",FALSE,$D99,$J99,$K99)</f>
        <v>J4844769-SGID1234-</v>
      </c>
      <c r="D99" s="2" t="s">
        <v>829</v>
      </c>
      <c r="E99" s="2" t="s">
        <v>776</v>
      </c>
      <c r="F99" s="2" t="s">
        <v>830</v>
      </c>
      <c r="G99" s="2" t="s">
        <v>831</v>
      </c>
      <c r="H99" s="2" t="s">
        <v>2231</v>
      </c>
      <c r="I99" s="2" t="s">
        <v>832</v>
      </c>
      <c r="J99" s="2" t="s">
        <v>652</v>
      </c>
      <c r="K99" s="2"/>
      <c r="L99" s="2" t="s">
        <v>2232</v>
      </c>
      <c r="M99" s="2" t="s">
        <v>650</v>
      </c>
      <c r="N99" s="2"/>
      <c r="O99" s="2" t="s">
        <v>651</v>
      </c>
      <c r="P99" s="2"/>
      <c r="Q99" s="2"/>
      <c r="R99" s="2"/>
      <c r="S99" s="2"/>
      <c r="T99" s="2"/>
      <c r="U99" s="2" t="s">
        <v>2038</v>
      </c>
    </row>
    <row r="100" spans="1:21" ht="30" hidden="1" x14ac:dyDescent="0.25">
      <c r="A100" s="3" t="str">
        <f>INDEX('Correg (V1)'!$B:$B,MATCH($C100,'Correg (V1)'!$B:$B,0),1)</f>
        <v>J4844769-SGID1234-</v>
      </c>
      <c r="B100" s="3" t="str">
        <f>INDEX('Nueva (V11)'!$B:$B,MATCH($C100,'Nueva (V11)'!$B:$B,0),1)</f>
        <v>J4844769-SGID1234-</v>
      </c>
      <c r="C100" s="3" t="str">
        <f>_xlfn.TEXTJOIN("-",FALSE,$D100,$J100,$K100)</f>
        <v>J4844769-SGID1234-</v>
      </c>
      <c r="D100" s="2" t="s">
        <v>829</v>
      </c>
      <c r="E100" s="2" t="s">
        <v>776</v>
      </c>
      <c r="F100" s="2" t="s">
        <v>830</v>
      </c>
      <c r="G100" s="2" t="s">
        <v>831</v>
      </c>
      <c r="H100" s="2" t="s">
        <v>2231</v>
      </c>
      <c r="I100" s="2" t="s">
        <v>832</v>
      </c>
      <c r="J100" s="2" t="s">
        <v>652</v>
      </c>
      <c r="K100" s="2"/>
      <c r="L100" s="2" t="s">
        <v>2232</v>
      </c>
      <c r="M100" s="2" t="s">
        <v>835</v>
      </c>
      <c r="N100" s="2"/>
      <c r="O100" s="2" t="s">
        <v>836</v>
      </c>
      <c r="P100" s="2"/>
      <c r="Q100" s="2"/>
      <c r="R100" s="2"/>
      <c r="S100" s="2"/>
      <c r="T100" s="2"/>
      <c r="U100" s="2" t="s">
        <v>2038</v>
      </c>
    </row>
    <row r="101" spans="1:21" ht="30" hidden="1" x14ac:dyDescent="0.25">
      <c r="A101" s="3" t="str">
        <f>INDEX('Correg (V1)'!$B:$B,MATCH($C101,'Correg (V1)'!$B:$B,0),1)</f>
        <v>J4844769-SS012345-</v>
      </c>
      <c r="B101" s="3" t="str">
        <f>INDEX('Nueva (V11)'!$B:$B,MATCH($C101,'Nueva (V11)'!$B:$B,0),1)</f>
        <v>J4844769-SS012345-</v>
      </c>
      <c r="C101" s="3" t="str">
        <f>_xlfn.TEXTJOIN("-",FALSE,$D101,$J101,$K101)</f>
        <v>J4844769-SS012345-</v>
      </c>
      <c r="D101" s="2" t="s">
        <v>829</v>
      </c>
      <c r="E101" s="2" t="s">
        <v>776</v>
      </c>
      <c r="F101" s="2" t="s">
        <v>830</v>
      </c>
      <c r="G101" s="2" t="s">
        <v>831</v>
      </c>
      <c r="H101" s="2" t="s">
        <v>2231</v>
      </c>
      <c r="I101" s="2" t="s">
        <v>832</v>
      </c>
      <c r="J101" s="2" t="s">
        <v>653</v>
      </c>
      <c r="K101" s="2"/>
      <c r="L101" s="2" t="s">
        <v>2232</v>
      </c>
      <c r="M101" s="2" t="s">
        <v>841</v>
      </c>
      <c r="N101" s="2"/>
      <c r="O101" s="2" t="s">
        <v>842</v>
      </c>
      <c r="P101" s="2"/>
      <c r="Q101" s="2" t="s">
        <v>843</v>
      </c>
      <c r="R101" s="2"/>
      <c r="S101" s="2"/>
      <c r="T101" s="2"/>
      <c r="U101" s="2" t="s">
        <v>2038</v>
      </c>
    </row>
    <row r="102" spans="1:21" ht="30" hidden="1" x14ac:dyDescent="0.25">
      <c r="A102" s="3" t="str">
        <f>INDEX('Correg (V1)'!$B:$B,MATCH($C102,'Correg (V1)'!$B:$B,0),1)</f>
        <v>J4844769-SS012388-</v>
      </c>
      <c r="B102" s="3" t="str">
        <f>INDEX('Nueva (V11)'!$B:$B,MATCH($C102,'Nueva (V11)'!$B:$B,0),1)</f>
        <v>J4844769-SS012388-</v>
      </c>
      <c r="C102" s="3" t="str">
        <f>_xlfn.TEXTJOIN("-",FALSE,$D102,$J102,$K102)</f>
        <v>J4844769-SS012388-</v>
      </c>
      <c r="D102" s="2" t="s">
        <v>829</v>
      </c>
      <c r="E102" s="2" t="s">
        <v>776</v>
      </c>
      <c r="F102" s="2" t="s">
        <v>830</v>
      </c>
      <c r="G102" s="2" t="s">
        <v>831</v>
      </c>
      <c r="H102" s="2" t="s">
        <v>2231</v>
      </c>
      <c r="I102" s="2" t="s">
        <v>832</v>
      </c>
      <c r="J102" s="2" t="s">
        <v>837</v>
      </c>
      <c r="K102" s="2"/>
      <c r="L102" s="2" t="s">
        <v>2232</v>
      </c>
      <c r="M102" s="2" t="s">
        <v>838</v>
      </c>
      <c r="N102" s="2"/>
      <c r="O102" s="2" t="s">
        <v>839</v>
      </c>
      <c r="P102" s="2"/>
      <c r="Q102" s="2" t="s">
        <v>840</v>
      </c>
      <c r="R102" s="2"/>
      <c r="S102" s="2"/>
      <c r="T102" s="2"/>
      <c r="U102" s="2" t="s">
        <v>2038</v>
      </c>
    </row>
    <row r="103" spans="1:21" hidden="1" x14ac:dyDescent="0.25">
      <c r="A103" s="3" t="str">
        <f>INDEX('Correg (V1)'!$B:$B,MATCH($C103,'Correg (V1)'!$B:$B,0),1)</f>
        <v>J5391663-J5391663-</v>
      </c>
      <c r="B103" s="3" t="str">
        <f>INDEX('Nueva (V11)'!$B:$B,MATCH($C103,'Nueva (V11)'!$B:$B,0),1)</f>
        <v>J5391663-J5391663-</v>
      </c>
      <c r="C103" s="3" t="str">
        <f>_xlfn.TEXTJOIN("-",FALSE,$D103,$J103,$K103)</f>
        <v>J5391663-J5391663-</v>
      </c>
      <c r="D103" s="2" t="s">
        <v>23</v>
      </c>
      <c r="E103" s="2" t="s">
        <v>24</v>
      </c>
      <c r="F103" s="2" t="s">
        <v>25</v>
      </c>
      <c r="G103" s="2" t="s">
        <v>26</v>
      </c>
      <c r="H103" s="2" t="s">
        <v>2043</v>
      </c>
      <c r="I103" s="2" t="s">
        <v>854</v>
      </c>
      <c r="J103" s="2" t="s">
        <v>23</v>
      </c>
      <c r="K103" s="2"/>
      <c r="L103" s="2" t="s">
        <v>2236</v>
      </c>
      <c r="M103" s="2" t="s">
        <v>24</v>
      </c>
      <c r="N103" s="2"/>
      <c r="O103" s="2" t="s">
        <v>25</v>
      </c>
      <c r="P103" s="2"/>
      <c r="Q103" s="2" t="s">
        <v>26</v>
      </c>
      <c r="R103" s="2"/>
      <c r="S103" s="2"/>
      <c r="T103" s="2"/>
      <c r="U103" s="2" t="s">
        <v>2038</v>
      </c>
    </row>
    <row r="104" spans="1:21" ht="30" hidden="1" x14ac:dyDescent="0.25">
      <c r="A104" s="3" t="str">
        <f>INDEX('Correg (V1)'!$B:$B,MATCH($C104,'Correg (V1)'!$B:$B,0),1)</f>
        <v>J5406220--A2422013</v>
      </c>
      <c r="B104" s="3" t="e">
        <f>INDEX('Nueva (V11)'!$B:$B,MATCH($C104,'Nueva (V11)'!$B:$B,0),1)</f>
        <v>#N/A</v>
      </c>
      <c r="C104" s="3" t="str">
        <f>_xlfn.TEXTJOIN("-",FALSE,$D104,$J104,$K104)</f>
        <v>J5406220--A2422013</v>
      </c>
      <c r="D104" s="2" t="s">
        <v>489</v>
      </c>
      <c r="E104" s="2" t="s">
        <v>490</v>
      </c>
      <c r="F104" s="2" t="s">
        <v>463</v>
      </c>
      <c r="G104" s="2" t="s">
        <v>20</v>
      </c>
      <c r="H104" s="2" t="s">
        <v>2101</v>
      </c>
      <c r="I104" s="2" t="s">
        <v>614</v>
      </c>
      <c r="J104" s="2"/>
      <c r="K104" s="2" t="s">
        <v>575</v>
      </c>
      <c r="L104" s="2" t="s">
        <v>2138</v>
      </c>
      <c r="M104" s="2"/>
      <c r="N104" s="2" t="s">
        <v>576</v>
      </c>
      <c r="O104" s="2"/>
      <c r="P104" s="2" t="s">
        <v>577</v>
      </c>
      <c r="Q104" s="2"/>
      <c r="R104" s="2" t="s">
        <v>578</v>
      </c>
      <c r="S104" s="2"/>
      <c r="T104" s="2"/>
      <c r="U104" s="2" t="s">
        <v>2083</v>
      </c>
    </row>
    <row r="105" spans="1:21" ht="45" hidden="1" x14ac:dyDescent="0.25">
      <c r="A105" s="3" t="str">
        <f>INDEX('Correg (V1)'!$B:$B,MATCH($C105,'Correg (V1)'!$B:$B,0),1)</f>
        <v>J5549918-J5549918-</v>
      </c>
      <c r="B105" s="3" t="str">
        <f>INDEX('Nueva (V11)'!$B:$B,MATCH($C105,'Nueva (V11)'!$B:$B,0),1)</f>
        <v>J5549918-J5549918-</v>
      </c>
      <c r="C105" s="3" t="str">
        <f>_xlfn.TEXTJOIN("-",FALSE,$D105,$J105,$K105)</f>
        <v>J5549918-J5549918-</v>
      </c>
      <c r="D105" s="2" t="s">
        <v>446</v>
      </c>
      <c r="E105" s="2" t="s">
        <v>438</v>
      </c>
      <c r="F105" s="2" t="s">
        <v>447</v>
      </c>
      <c r="G105" s="2" t="s">
        <v>448</v>
      </c>
      <c r="H105" s="2" t="s">
        <v>2082</v>
      </c>
      <c r="I105" s="2" t="s">
        <v>501</v>
      </c>
      <c r="J105" s="2" t="s">
        <v>446</v>
      </c>
      <c r="K105" s="2"/>
      <c r="L105" s="2" t="s">
        <v>2106</v>
      </c>
      <c r="M105" s="2" t="s">
        <v>438</v>
      </c>
      <c r="N105" s="2"/>
      <c r="O105" s="2" t="s">
        <v>447</v>
      </c>
      <c r="P105" s="2"/>
      <c r="Q105" s="2" t="s">
        <v>448</v>
      </c>
      <c r="R105" s="2"/>
      <c r="S105" s="2"/>
      <c r="T105" s="2"/>
      <c r="U105" s="2" t="s">
        <v>2083</v>
      </c>
    </row>
    <row r="106" spans="1:21" ht="30" hidden="1" x14ac:dyDescent="0.25">
      <c r="A106" s="3" t="str">
        <f>INDEX('Correg (V1)'!$B:$B,MATCH($C106,'Correg (V1)'!$B:$B,0),1)</f>
        <v>J5768651-J5768651-</v>
      </c>
      <c r="B106" s="3" t="str">
        <f>INDEX('Nueva (V11)'!$B:$B,MATCH($C106,'Nueva (V11)'!$B:$B,0),1)</f>
        <v>J5768651-J5768651-</v>
      </c>
      <c r="C106" s="3" t="str">
        <f>_xlfn.TEXTJOIN("-",FALSE,$D106,$J106,$K106)</f>
        <v>J5768651-J5768651-</v>
      </c>
      <c r="D106" s="2" t="s">
        <v>660</v>
      </c>
      <c r="E106" s="2" t="s">
        <v>661</v>
      </c>
      <c r="F106" s="2" t="s">
        <v>662</v>
      </c>
      <c r="G106" s="2" t="s">
        <v>663</v>
      </c>
      <c r="H106" s="2" t="s">
        <v>2168</v>
      </c>
      <c r="I106" s="2" t="s">
        <v>664</v>
      </c>
      <c r="J106" s="2" t="s">
        <v>660</v>
      </c>
      <c r="K106" s="2"/>
      <c r="L106" s="2" t="s">
        <v>2169</v>
      </c>
      <c r="M106" s="2" t="s">
        <v>661</v>
      </c>
      <c r="N106" s="2"/>
      <c r="O106" s="2" t="s">
        <v>662</v>
      </c>
      <c r="P106" s="2"/>
      <c r="Q106" s="2" t="s">
        <v>663</v>
      </c>
      <c r="R106" s="2"/>
      <c r="S106" s="2"/>
      <c r="T106" s="2"/>
      <c r="U106" s="2" t="s">
        <v>2080</v>
      </c>
    </row>
    <row r="107" spans="1:21" ht="30" hidden="1" x14ac:dyDescent="0.25">
      <c r="A107" s="3" t="str">
        <f>INDEX('Correg (V1)'!$B:$B,MATCH($C107,'Correg (V1)'!$B:$B,0),1)</f>
        <v>J5981626--J9341213</v>
      </c>
      <c r="B107" s="3" t="e">
        <f>INDEX('Nueva (V11)'!$B:$B,MATCH($C107,'Nueva (V11)'!$B:$B,0),1)</f>
        <v>#N/A</v>
      </c>
      <c r="C107" s="3" t="str">
        <f>_xlfn.TEXTJOIN("-",FALSE,$D107,$J107,$K107)</f>
        <v>J5981626--J9341213</v>
      </c>
      <c r="D107" s="2" t="s">
        <v>989</v>
      </c>
      <c r="E107" s="2" t="s">
        <v>147</v>
      </c>
      <c r="F107" s="2" t="s">
        <v>21</v>
      </c>
      <c r="G107" s="2" t="s">
        <v>990</v>
      </c>
      <c r="H107" s="2" t="s">
        <v>2291</v>
      </c>
      <c r="I107" s="2" t="s">
        <v>991</v>
      </c>
      <c r="J107" s="2"/>
      <c r="K107" s="2" t="s">
        <v>826</v>
      </c>
      <c r="L107" s="2" t="s">
        <v>2230</v>
      </c>
      <c r="M107" s="2"/>
      <c r="N107" s="2" t="s">
        <v>24</v>
      </c>
      <c r="O107" s="2"/>
      <c r="P107" s="2" t="s">
        <v>740</v>
      </c>
      <c r="Q107" s="2"/>
      <c r="R107" s="2" t="s">
        <v>827</v>
      </c>
      <c r="S107" s="2"/>
      <c r="T107" s="2"/>
      <c r="U107" s="2" t="s">
        <v>2046</v>
      </c>
    </row>
    <row r="108" spans="1:21" hidden="1" x14ac:dyDescent="0.25">
      <c r="A108" s="3" t="str">
        <f>INDEX('Correg (V1)'!$B:$B,MATCH($C108,'Correg (V1)'!$B:$B,0),1)</f>
        <v>J6007668--M4581480</v>
      </c>
      <c r="B108" s="3" t="str">
        <f>INDEX('Nueva (V11)'!$B:$B,MATCH($C108,'Nueva (V11)'!$B:$B,0),1)</f>
        <v>J6007668--M4581480</v>
      </c>
      <c r="C108" s="3" t="str">
        <f>_xlfn.TEXTJOIN("-",FALSE,$D108,$J108,$K108)</f>
        <v>J6007668--M4581480</v>
      </c>
      <c r="D108" s="2" t="s">
        <v>534</v>
      </c>
      <c r="E108" s="2" t="s">
        <v>24</v>
      </c>
      <c r="F108" s="2" t="s">
        <v>535</v>
      </c>
      <c r="G108" s="2" t="s">
        <v>536</v>
      </c>
      <c r="H108" s="2" t="s">
        <v>2119</v>
      </c>
      <c r="I108" s="2" t="s">
        <v>537</v>
      </c>
      <c r="J108" s="2"/>
      <c r="K108" s="2" t="s">
        <v>538</v>
      </c>
      <c r="L108" s="2" t="s">
        <v>2120</v>
      </c>
      <c r="M108" s="2"/>
      <c r="N108" s="2" t="s">
        <v>92</v>
      </c>
      <c r="O108" s="2"/>
      <c r="P108" s="2" t="s">
        <v>539</v>
      </c>
      <c r="Q108" s="2"/>
      <c r="R108" s="2" t="s">
        <v>468</v>
      </c>
      <c r="S108" s="2"/>
      <c r="T108" s="2"/>
      <c r="U108" s="2" t="s">
        <v>2071</v>
      </c>
    </row>
    <row r="109" spans="1:21" ht="30" hidden="1" x14ac:dyDescent="0.25">
      <c r="A109" s="3" t="str">
        <f>INDEX('Correg (V1)'!$B:$B,MATCH($C109,'Correg (V1)'!$B:$B,0),1)</f>
        <v>J6019249-J6019249-</v>
      </c>
      <c r="B109" s="3" t="e">
        <f>INDEX('Nueva (V11)'!$B:$B,MATCH($C109,'Nueva (V11)'!$B:$B,0),1)</f>
        <v>#N/A</v>
      </c>
      <c r="C109" s="3" t="str">
        <f>_xlfn.TEXTJOIN("-",FALSE,$D109,$J109,$K109)</f>
        <v>J6019249-J6019249-</v>
      </c>
      <c r="D109" s="2" t="s">
        <v>1147</v>
      </c>
      <c r="E109" s="2" t="s">
        <v>1148</v>
      </c>
      <c r="F109" s="2" t="s">
        <v>493</v>
      </c>
      <c r="G109" s="2" t="s">
        <v>1149</v>
      </c>
      <c r="H109" s="2" t="s">
        <v>2368</v>
      </c>
      <c r="I109" s="2" t="s">
        <v>1150</v>
      </c>
      <c r="J109" s="2" t="s">
        <v>1147</v>
      </c>
      <c r="K109" s="2"/>
      <c r="L109" s="2" t="s">
        <v>2369</v>
      </c>
      <c r="M109" s="2" t="s">
        <v>1148</v>
      </c>
      <c r="N109" s="2"/>
      <c r="O109" s="2" t="s">
        <v>493</v>
      </c>
      <c r="P109" s="2"/>
      <c r="Q109" s="2" t="s">
        <v>1149</v>
      </c>
      <c r="R109" s="2"/>
      <c r="S109" s="2"/>
      <c r="T109" s="2"/>
      <c r="U109" s="2" t="s">
        <v>2038</v>
      </c>
    </row>
    <row r="110" spans="1:21" hidden="1" x14ac:dyDescent="0.25">
      <c r="A110" s="5" t="e">
        <f>INDEX('Correg (V1)'!$B:$B,MATCH($C110,'Correg (V1)'!$B:$B,0),1)</f>
        <v>#N/A</v>
      </c>
      <c r="B110" s="3" t="e">
        <f>INDEX('Nueva (V11)'!$B:$B,MATCH($C110,'Nueva (V11)'!$B:$B,0),1)</f>
        <v>#N/A</v>
      </c>
      <c r="C110" s="3" t="str">
        <f>_xlfn.TEXTJOIN("-",FALSE,$D110,$J110,$K110)</f>
        <v>J6139155-J6139155-</v>
      </c>
      <c r="D110" s="2" t="s">
        <v>32</v>
      </c>
      <c r="E110" s="2" t="s">
        <v>33</v>
      </c>
      <c r="F110" s="2" t="s">
        <v>34</v>
      </c>
      <c r="G110" s="2" t="s">
        <v>35</v>
      </c>
      <c r="H110" s="2" t="s">
        <v>2047</v>
      </c>
      <c r="I110" s="2" t="s">
        <v>36</v>
      </c>
      <c r="J110" s="2" t="s">
        <v>32</v>
      </c>
      <c r="K110" s="2"/>
      <c r="L110" s="2" t="s">
        <v>2048</v>
      </c>
      <c r="M110" s="2" t="s">
        <v>33</v>
      </c>
      <c r="N110" s="2"/>
      <c r="O110" s="2" t="s">
        <v>34</v>
      </c>
      <c r="P110" s="2"/>
      <c r="Q110" s="2" t="s">
        <v>35</v>
      </c>
      <c r="R110" s="2"/>
      <c r="S110" s="2"/>
      <c r="T110" s="2"/>
      <c r="U110" s="2" t="s">
        <v>2038</v>
      </c>
    </row>
    <row r="111" spans="1:21" ht="30" hidden="1" x14ac:dyDescent="0.25">
      <c r="A111" s="3" t="str">
        <f>INDEX('Correg (V1)'!$B:$B,MATCH($C111,'Correg (V1)'!$B:$B,0),1)</f>
        <v>J6185390--J5549918</v>
      </c>
      <c r="B111" s="3" t="str">
        <f>INDEX('Nueva (V11)'!$B:$B,MATCH($C111,'Nueva (V11)'!$B:$B,0),1)</f>
        <v>J6185390--J5549918</v>
      </c>
      <c r="C111" s="3" t="str">
        <f>_xlfn.TEXTJOIN("-",FALSE,$D111,$J111,$K111)</f>
        <v>J6185390--J5549918</v>
      </c>
      <c r="D111" s="2" t="s">
        <v>768</v>
      </c>
      <c r="E111" s="2" t="s">
        <v>147</v>
      </c>
      <c r="F111" s="2" t="s">
        <v>769</v>
      </c>
      <c r="G111" s="2" t="s">
        <v>770</v>
      </c>
      <c r="H111" s="2" t="s">
        <v>2211</v>
      </c>
      <c r="I111" s="2" t="s">
        <v>771</v>
      </c>
      <c r="J111" s="2"/>
      <c r="K111" s="2" t="s">
        <v>446</v>
      </c>
      <c r="L111" s="2" t="s">
        <v>2082</v>
      </c>
      <c r="M111" s="2"/>
      <c r="N111" s="2" t="s">
        <v>438</v>
      </c>
      <c r="O111" s="2"/>
      <c r="P111" s="2" t="s">
        <v>447</v>
      </c>
      <c r="Q111" s="2"/>
      <c r="R111" s="2" t="s">
        <v>448</v>
      </c>
      <c r="S111" s="2"/>
      <c r="T111" s="2"/>
      <c r="U111" s="2" t="s">
        <v>2083</v>
      </c>
    </row>
    <row r="112" spans="1:21" hidden="1" x14ac:dyDescent="0.25">
      <c r="A112" s="3" t="str">
        <f>INDEX('Correg (V1)'!$B:$B,MATCH($C112,'Correg (V1)'!$B:$B,0),1)</f>
        <v>J6399199-J6399199-</v>
      </c>
      <c r="B112" s="3" t="str">
        <f>INDEX('Nueva (V11)'!$B:$B,MATCH($C112,'Nueva (V11)'!$B:$B,0),1)</f>
        <v>J6399199-J6399199-</v>
      </c>
      <c r="C112" s="3" t="str">
        <f>_xlfn.TEXTJOIN("-",FALSE,$D112,$J112,$K112)</f>
        <v>J6399199-J6399199-</v>
      </c>
      <c r="D112" s="2" t="s">
        <v>775</v>
      </c>
      <c r="E112" s="2" t="s">
        <v>776</v>
      </c>
      <c r="F112" s="2" t="s">
        <v>777</v>
      </c>
      <c r="G112" s="2" t="s">
        <v>778</v>
      </c>
      <c r="H112" s="2" t="s">
        <v>2213</v>
      </c>
      <c r="I112" s="2" t="s">
        <v>779</v>
      </c>
      <c r="J112" s="2" t="s">
        <v>775</v>
      </c>
      <c r="K112" s="2"/>
      <c r="L112" s="2" t="s">
        <v>2214</v>
      </c>
      <c r="M112" s="2" t="s">
        <v>776</v>
      </c>
      <c r="N112" s="2"/>
      <c r="O112" s="2" t="s">
        <v>777</v>
      </c>
      <c r="P112" s="2"/>
      <c r="Q112" s="2" t="s">
        <v>778</v>
      </c>
      <c r="R112" s="2"/>
      <c r="S112" s="2"/>
      <c r="T112" s="2"/>
      <c r="U112" s="2" t="s">
        <v>2083</v>
      </c>
    </row>
    <row r="113" spans="1:21" ht="30" hidden="1" x14ac:dyDescent="0.25">
      <c r="A113" s="3" t="str">
        <f>INDEX('Correg (V1)'!$B:$B,MATCH($C113,'Correg (V1)'!$B:$B,0),1)</f>
        <v>J6853473--J5391663</v>
      </c>
      <c r="B113" s="3" t="e">
        <f>INDEX('Nueva (V11)'!$B:$B,MATCH($C113,'Nueva (V11)'!$B:$B,0),1)</f>
        <v>#N/A</v>
      </c>
      <c r="C113" s="3" t="str">
        <f>_xlfn.TEXTJOIN("-",FALSE,$D113,$J113,$K113)</f>
        <v>J6853473--J5391663</v>
      </c>
      <c r="D113" s="2" t="s">
        <v>962</v>
      </c>
      <c r="E113" s="2" t="s">
        <v>661</v>
      </c>
      <c r="F113" s="2" t="s">
        <v>963</v>
      </c>
      <c r="G113" s="2" t="s">
        <v>964</v>
      </c>
      <c r="H113" s="2" t="s">
        <v>2279</v>
      </c>
      <c r="I113" s="2" t="s">
        <v>965</v>
      </c>
      <c r="J113" s="2"/>
      <c r="K113" s="2" t="s">
        <v>23</v>
      </c>
      <c r="L113" s="2" t="s">
        <v>2043</v>
      </c>
      <c r="M113" s="2"/>
      <c r="N113" s="2" t="s">
        <v>24</v>
      </c>
      <c r="O113" s="2"/>
      <c r="P113" s="2" t="s">
        <v>25</v>
      </c>
      <c r="Q113" s="2"/>
      <c r="R113" s="2" t="s">
        <v>26</v>
      </c>
      <c r="S113" s="2"/>
      <c r="T113" s="2"/>
      <c r="U113" s="2" t="s">
        <v>2038</v>
      </c>
    </row>
    <row r="114" spans="1:21" ht="30" hidden="1" x14ac:dyDescent="0.25">
      <c r="A114" s="3" t="str">
        <f>INDEX('Correg (V1)'!$B:$B,MATCH($C114,'Correg (V1)'!$B:$B,0),1)</f>
        <v>J6902405--M4581480</v>
      </c>
      <c r="B114" s="3" t="e">
        <f>INDEX('Nueva (V11)'!$B:$B,MATCH($C114,'Nueva (V11)'!$B:$B,0),1)</f>
        <v>#N/A</v>
      </c>
      <c r="C114" s="3" t="str">
        <f>_xlfn.TEXTJOIN("-",FALSE,$D114,$J114,$K114)</f>
        <v>J6902405--M4581480</v>
      </c>
      <c r="D114" s="2" t="s">
        <v>1068</v>
      </c>
      <c r="E114" s="2" t="s">
        <v>1069</v>
      </c>
      <c r="F114" s="2" t="s">
        <v>11</v>
      </c>
      <c r="G114" s="2" t="s">
        <v>691</v>
      </c>
      <c r="H114" s="2" t="s">
        <v>2333</v>
      </c>
      <c r="I114" s="2" t="s">
        <v>2333</v>
      </c>
      <c r="J114" s="2"/>
      <c r="K114" s="2" t="s">
        <v>538</v>
      </c>
      <c r="L114" s="2" t="s">
        <v>2120</v>
      </c>
      <c r="M114" s="2"/>
      <c r="N114" s="2" t="s">
        <v>92</v>
      </c>
      <c r="O114" s="2"/>
      <c r="P114" s="2" t="s">
        <v>539</v>
      </c>
      <c r="Q114" s="2"/>
      <c r="R114" s="2" t="s">
        <v>468</v>
      </c>
      <c r="S114" s="2"/>
      <c r="T114" s="2"/>
      <c r="U114" s="2" t="s">
        <v>2071</v>
      </c>
    </row>
    <row r="115" spans="1:21" hidden="1" x14ac:dyDescent="0.25">
      <c r="A115" s="3" t="str">
        <f>INDEX('Correg (V1)'!$B:$B,MATCH($C115,'Correg (V1)'!$B:$B,0),1)</f>
        <v>J6982916--F6446981</v>
      </c>
      <c r="B115" s="3" t="str">
        <f>INDEX('Nueva (V11)'!$B:$B,MATCH($C115,'Nueva (V11)'!$B:$B,0),1)</f>
        <v>J6982916--F6446981</v>
      </c>
      <c r="C115" s="3" t="str">
        <f>_xlfn.TEXTJOIN("-",FALSE,$D115,$J115,$K115)</f>
        <v>J6982916--F6446981</v>
      </c>
      <c r="D115" s="2" t="s">
        <v>657</v>
      </c>
      <c r="E115" s="2" t="s">
        <v>173</v>
      </c>
      <c r="F115" s="2" t="s">
        <v>658</v>
      </c>
      <c r="G115" s="2" t="s">
        <v>659</v>
      </c>
      <c r="H115" s="2" t="s">
        <v>2167</v>
      </c>
      <c r="I115" s="2" t="s">
        <v>2167</v>
      </c>
      <c r="J115" s="2"/>
      <c r="K115" s="2" t="s">
        <v>636</v>
      </c>
      <c r="L115" s="2" t="s">
        <v>2162</v>
      </c>
      <c r="M115" s="2"/>
      <c r="N115" s="2" t="s">
        <v>637</v>
      </c>
      <c r="O115" s="2"/>
      <c r="P115" s="2" t="s">
        <v>496</v>
      </c>
      <c r="Q115" s="2"/>
      <c r="R115" s="2" t="s">
        <v>638</v>
      </c>
      <c r="S115" s="2"/>
      <c r="T115" s="2"/>
      <c r="U115" s="2" t="s">
        <v>2083</v>
      </c>
    </row>
    <row r="116" spans="1:21" hidden="1" x14ac:dyDescent="0.25">
      <c r="A116" s="3" t="str">
        <f>INDEX('Correg (V1)'!$B:$B,MATCH($C116,'Correg (V1)'!$B:$B,0),1)</f>
        <v>J7046856-J7046856-</v>
      </c>
      <c r="B116" s="3" t="e">
        <f>INDEX('Nueva (V11)'!$B:$B,MATCH($C116,'Nueva (V11)'!$B:$B,0),1)</f>
        <v>#N/A</v>
      </c>
      <c r="C116" s="3" t="str">
        <f>_xlfn.TEXTJOIN("-",FALSE,$D116,$J116,$K116)</f>
        <v>J7046856-J7046856-</v>
      </c>
      <c r="D116" s="2" t="s">
        <v>1010</v>
      </c>
      <c r="E116" s="2" t="s">
        <v>127</v>
      </c>
      <c r="F116" s="2" t="s">
        <v>557</v>
      </c>
      <c r="G116" s="2" t="s">
        <v>493</v>
      </c>
      <c r="H116" s="2" t="s">
        <v>2301</v>
      </c>
      <c r="I116" s="2" t="s">
        <v>1011</v>
      </c>
      <c r="J116" s="2" t="s">
        <v>1010</v>
      </c>
      <c r="K116" s="2"/>
      <c r="L116" s="2" t="s">
        <v>2302</v>
      </c>
      <c r="M116" s="2" t="s">
        <v>127</v>
      </c>
      <c r="N116" s="2"/>
      <c r="O116" s="2" t="s">
        <v>557</v>
      </c>
      <c r="P116" s="2"/>
      <c r="Q116" s="2" t="s">
        <v>493</v>
      </c>
      <c r="R116" s="2"/>
      <c r="S116" s="2"/>
      <c r="T116" s="2"/>
      <c r="U116" s="2" t="s">
        <v>2038</v>
      </c>
    </row>
    <row r="117" spans="1:21" ht="30" hidden="1" x14ac:dyDescent="0.25">
      <c r="A117" s="3" t="str">
        <f>INDEX('Correg (V1)'!$B:$B,MATCH($C117,'Correg (V1)'!$B:$B,0),1)</f>
        <v>J7053949-J7053949-</v>
      </c>
      <c r="B117" s="3" t="str">
        <f>INDEX('Nueva (V11)'!$B:$B,MATCH($C117,'Nueva (V11)'!$B:$B,0),1)</f>
        <v>J7053949-J7053949-</v>
      </c>
      <c r="C117" s="3" t="str">
        <f>_xlfn.TEXTJOIN("-",FALSE,$D117,$J117,$K117)</f>
        <v>J7053949-J7053949-</v>
      </c>
      <c r="D117" s="2" t="s">
        <v>551</v>
      </c>
      <c r="E117" s="2" t="s">
        <v>552</v>
      </c>
      <c r="F117" s="2" t="s">
        <v>553</v>
      </c>
      <c r="G117" s="2" t="s">
        <v>105</v>
      </c>
      <c r="H117" s="2" t="s">
        <v>2127</v>
      </c>
      <c r="I117" s="2" t="s">
        <v>554</v>
      </c>
      <c r="J117" s="2" t="s">
        <v>551</v>
      </c>
      <c r="K117" s="2"/>
      <c r="L117" s="2" t="s">
        <v>2128</v>
      </c>
      <c r="M117" s="2" t="s">
        <v>552</v>
      </c>
      <c r="N117" s="2"/>
      <c r="O117" s="2" t="s">
        <v>553</v>
      </c>
      <c r="P117" s="2"/>
      <c r="Q117" s="2" t="s">
        <v>105</v>
      </c>
      <c r="R117" s="2"/>
      <c r="S117" s="2"/>
      <c r="T117" s="2"/>
      <c r="U117" s="2" t="s">
        <v>2071</v>
      </c>
    </row>
    <row r="118" spans="1:21" hidden="1" x14ac:dyDescent="0.25">
      <c r="A118" s="3" t="str">
        <f>INDEX('Correg (V1)'!$B:$B,MATCH($C118,'Correg (V1)'!$B:$B,0),1)</f>
        <v>J7436091--J5406220</v>
      </c>
      <c r="B118" s="3" t="str">
        <f>INDEX('Nueva (V11)'!$B:$B,MATCH($C118,'Nueva (V11)'!$B:$B,0),1)</f>
        <v>J7436091--J5406220</v>
      </c>
      <c r="C118" s="3" t="str">
        <f>_xlfn.TEXTJOIN("-",FALSE,$D118,$J118,$K118)</f>
        <v>J7436091--J5406220</v>
      </c>
      <c r="D118" s="2" t="s">
        <v>486</v>
      </c>
      <c r="E118" s="2" t="s">
        <v>173</v>
      </c>
      <c r="F118" s="2" t="s">
        <v>487</v>
      </c>
      <c r="G118" s="2" t="s">
        <v>29</v>
      </c>
      <c r="H118" s="2" t="s">
        <v>2100</v>
      </c>
      <c r="I118" s="2" t="s">
        <v>488</v>
      </c>
      <c r="J118" s="2"/>
      <c r="K118" s="2" t="s">
        <v>489</v>
      </c>
      <c r="L118" s="2" t="s">
        <v>2101</v>
      </c>
      <c r="M118" s="2"/>
      <c r="N118" s="2" t="s">
        <v>490</v>
      </c>
      <c r="O118" s="2"/>
      <c r="P118" s="2" t="s">
        <v>463</v>
      </c>
      <c r="Q118" s="2"/>
      <c r="R118" s="2" t="s">
        <v>20</v>
      </c>
      <c r="S118" s="2"/>
      <c r="T118" s="2"/>
      <c r="U118" s="2" t="s">
        <v>2083</v>
      </c>
    </row>
    <row r="119" spans="1:21" ht="30" hidden="1" x14ac:dyDescent="0.25">
      <c r="A119" s="3" t="str">
        <f>INDEX('Correg (V1)'!$B:$B,MATCH($C119,'Correg (V1)'!$B:$B,0),1)</f>
        <v>J7470928-J7470928-</v>
      </c>
      <c r="B119" s="3" t="e">
        <f>INDEX('Nueva (V11)'!$B:$B,MATCH($C119,'Nueva (V11)'!$B:$B,0),1)</f>
        <v>#N/A</v>
      </c>
      <c r="C119" s="3" t="str">
        <f>_xlfn.TEXTJOIN("-",FALSE,$D119,$J119,$K119)</f>
        <v>J7470928-J7470928-</v>
      </c>
      <c r="D119" s="2" t="s">
        <v>1116</v>
      </c>
      <c r="E119" s="2" t="s">
        <v>1117</v>
      </c>
      <c r="F119" s="2" t="s">
        <v>1118</v>
      </c>
      <c r="G119" s="2" t="s">
        <v>1119</v>
      </c>
      <c r="H119" s="2" t="s">
        <v>2353</v>
      </c>
      <c r="I119" s="2" t="s">
        <v>1120</v>
      </c>
      <c r="J119" s="2" t="s">
        <v>1116</v>
      </c>
      <c r="K119" s="2"/>
      <c r="L119" s="2" t="s">
        <v>2354</v>
      </c>
      <c r="M119" s="2" t="s">
        <v>1117</v>
      </c>
      <c r="N119" s="2"/>
      <c r="O119" s="2" t="s">
        <v>1118</v>
      </c>
      <c r="P119" s="2"/>
      <c r="Q119" s="2" t="s">
        <v>1119</v>
      </c>
      <c r="R119" s="2"/>
      <c r="S119" s="2"/>
      <c r="T119" s="2"/>
      <c r="U119" s="2" t="s">
        <v>2038</v>
      </c>
    </row>
    <row r="120" spans="1:21" hidden="1" x14ac:dyDescent="0.25">
      <c r="A120" s="3" t="str">
        <f>INDEX('Correg (V1)'!$B:$B,MATCH($C120,'Correg (V1)'!$B:$B,0),1)</f>
        <v>J7707905-J7707905-</v>
      </c>
      <c r="B120" s="3" t="e">
        <f>INDEX('Nueva (V11)'!$B:$B,MATCH($C120,'Nueva (V11)'!$B:$B,0),1)</f>
        <v>#N/A</v>
      </c>
      <c r="C120" s="3" t="str">
        <f>_xlfn.TEXTJOIN("-",FALSE,$D120,$J120,$K120)</f>
        <v>J7707905-J7707905-</v>
      </c>
      <c r="D120" s="2" t="s">
        <v>1032</v>
      </c>
      <c r="E120" s="2" t="s">
        <v>438</v>
      </c>
      <c r="F120" s="2" t="s">
        <v>29</v>
      </c>
      <c r="G120" s="2" t="s">
        <v>1033</v>
      </c>
      <c r="H120" s="2" t="s">
        <v>2311</v>
      </c>
      <c r="I120" s="2" t="s">
        <v>1034</v>
      </c>
      <c r="J120" s="2" t="s">
        <v>1032</v>
      </c>
      <c r="K120" s="2"/>
      <c r="L120" s="2" t="s">
        <v>2312</v>
      </c>
      <c r="M120" s="2" t="s">
        <v>438</v>
      </c>
      <c r="N120" s="2"/>
      <c r="O120" s="2" t="s">
        <v>29</v>
      </c>
      <c r="P120" s="2"/>
      <c r="Q120" s="2" t="s">
        <v>1033</v>
      </c>
      <c r="R120" s="2"/>
      <c r="S120" s="2"/>
      <c r="T120" s="2"/>
      <c r="U120" s="2" t="s">
        <v>2038</v>
      </c>
    </row>
    <row r="121" spans="1:21" hidden="1" x14ac:dyDescent="0.25">
      <c r="A121" s="3" t="str">
        <f>INDEX('Correg (V1)'!$B:$B,MATCH($C121,'Correg (V1)'!$B:$B,0),1)</f>
        <v>J8092275-J8092275-</v>
      </c>
      <c r="B121" s="3" t="str">
        <f>INDEX('Nueva (V11)'!$B:$B,MATCH($C121,'Nueva (V11)'!$B:$B,0),1)</f>
        <v>J8092275-J8092275-</v>
      </c>
      <c r="C121" s="3" t="str">
        <f>_xlfn.TEXTJOIN("-",FALSE,$D121,$J121,$K121)</f>
        <v>J8092275-J8092275-</v>
      </c>
      <c r="D121" s="2" t="s">
        <v>474</v>
      </c>
      <c r="E121" s="2" t="s">
        <v>475</v>
      </c>
      <c r="F121" s="2" t="s">
        <v>476</v>
      </c>
      <c r="G121" s="2" t="s">
        <v>477</v>
      </c>
      <c r="H121" s="2" t="s">
        <v>2093</v>
      </c>
      <c r="I121" s="2" t="s">
        <v>478</v>
      </c>
      <c r="J121" s="2" t="s">
        <v>474</v>
      </c>
      <c r="K121" s="2"/>
      <c r="L121" s="2" t="s">
        <v>2094</v>
      </c>
      <c r="M121" s="2" t="s">
        <v>475</v>
      </c>
      <c r="N121" s="2"/>
      <c r="O121" s="2" t="s">
        <v>476</v>
      </c>
      <c r="P121" s="2"/>
      <c r="Q121" s="2" t="s">
        <v>477</v>
      </c>
      <c r="R121" s="2"/>
      <c r="S121" s="2"/>
      <c r="T121" s="2"/>
      <c r="U121" s="2" t="s">
        <v>2080</v>
      </c>
    </row>
    <row r="122" spans="1:21" hidden="1" x14ac:dyDescent="0.25">
      <c r="A122" s="3" t="str">
        <f>INDEX('Correg (V1)'!$B:$B,MATCH($C122,'Correg (V1)'!$B:$B,0),1)</f>
        <v>J8152481-J8152481-</v>
      </c>
      <c r="B122" s="3" t="str">
        <f>INDEX('Nueva (V11)'!$B:$B,MATCH($C122,'Nueva (V11)'!$B:$B,0),1)</f>
        <v>J8152481-J8152481-</v>
      </c>
      <c r="C122" s="3" t="str">
        <f>_xlfn.TEXTJOIN("-",FALSE,$D122,$J122,$K122)</f>
        <v>J8152481-J8152481-</v>
      </c>
      <c r="D122" s="2" t="s">
        <v>665</v>
      </c>
      <c r="E122" s="2" t="s">
        <v>438</v>
      </c>
      <c r="F122" s="2" t="s">
        <v>666</v>
      </c>
      <c r="G122" s="2" t="s">
        <v>44</v>
      </c>
      <c r="H122" s="2" t="s">
        <v>2170</v>
      </c>
      <c r="I122" s="2" t="s">
        <v>667</v>
      </c>
      <c r="J122" s="2" t="s">
        <v>665</v>
      </c>
      <c r="K122" s="2"/>
      <c r="L122" s="2" t="s">
        <v>2171</v>
      </c>
      <c r="M122" s="2" t="s">
        <v>438</v>
      </c>
      <c r="N122" s="2"/>
      <c r="O122" s="2" t="s">
        <v>666</v>
      </c>
      <c r="P122" s="2"/>
      <c r="Q122" s="2" t="s">
        <v>44</v>
      </c>
      <c r="R122" s="2"/>
      <c r="S122" s="2"/>
      <c r="T122" s="2"/>
      <c r="U122" s="2" t="s">
        <v>2038</v>
      </c>
    </row>
    <row r="123" spans="1:21" hidden="1" x14ac:dyDescent="0.25">
      <c r="A123" s="3" t="str">
        <f>INDEX('Correg (V1)'!$B:$B,MATCH($C123,'Correg (V1)'!$B:$B,0),1)</f>
        <v>J8542026-J8542026-</v>
      </c>
      <c r="B123" s="3" t="str">
        <f>INDEX('Nueva (V11)'!$B:$B,MATCH($C123,'Nueva (V11)'!$B:$B,0),1)</f>
        <v>J8542026-J8542026-</v>
      </c>
      <c r="C123" s="3" t="str">
        <f>_xlfn.TEXTJOIN("-",FALSE,$D123,$J123,$K123)</f>
        <v>J8542026-J8542026-</v>
      </c>
      <c r="D123" s="2" t="s">
        <v>548</v>
      </c>
      <c r="E123" s="2" t="s">
        <v>475</v>
      </c>
      <c r="F123" s="2" t="s">
        <v>105</v>
      </c>
      <c r="G123" s="2" t="s">
        <v>549</v>
      </c>
      <c r="H123" s="2" t="s">
        <v>2125</v>
      </c>
      <c r="I123" s="2" t="s">
        <v>550</v>
      </c>
      <c r="J123" s="2" t="s">
        <v>548</v>
      </c>
      <c r="K123" s="2"/>
      <c r="L123" s="2" t="s">
        <v>2126</v>
      </c>
      <c r="M123" s="2" t="s">
        <v>475</v>
      </c>
      <c r="N123" s="2"/>
      <c r="O123" s="2" t="s">
        <v>105</v>
      </c>
      <c r="P123" s="2"/>
      <c r="Q123" s="2" t="s">
        <v>549</v>
      </c>
      <c r="R123" s="2"/>
      <c r="S123" s="2"/>
      <c r="T123" s="2"/>
      <c r="U123" s="2" t="s">
        <v>2071</v>
      </c>
    </row>
    <row r="124" spans="1:21" ht="30" hidden="1" x14ac:dyDescent="0.25">
      <c r="A124" s="3" t="str">
        <f>INDEX('Correg (V1)'!$B:$B,MATCH($C124,'Correg (V1)'!$B:$B,0),1)</f>
        <v>J8747692-J8747692-</v>
      </c>
      <c r="B124" s="3" t="e">
        <f>INDEX('Nueva (V11)'!$B:$B,MATCH($C124,'Nueva (V11)'!$B:$B,0),1)</f>
        <v>#N/A</v>
      </c>
      <c r="C124" s="3" t="str">
        <f>_xlfn.TEXTJOIN("-",FALSE,$D124,$J124,$K124)</f>
        <v>J8747692-J8747692-</v>
      </c>
      <c r="D124" s="2" t="s">
        <v>998</v>
      </c>
      <c r="E124" s="2" t="s">
        <v>999</v>
      </c>
      <c r="F124" s="2" t="s">
        <v>1000</v>
      </c>
      <c r="G124" s="2" t="s">
        <v>1001</v>
      </c>
      <c r="H124" s="2" t="s">
        <v>2296</v>
      </c>
      <c r="I124" s="2" t="s">
        <v>1002</v>
      </c>
      <c r="J124" s="2" t="s">
        <v>998</v>
      </c>
      <c r="K124" s="2"/>
      <c r="L124" s="2" t="s">
        <v>2297</v>
      </c>
      <c r="M124" s="2" t="s">
        <v>999</v>
      </c>
      <c r="N124" s="2"/>
      <c r="O124" s="2" t="s">
        <v>1000</v>
      </c>
      <c r="P124" s="2"/>
      <c r="Q124" s="2" t="s">
        <v>1001</v>
      </c>
      <c r="R124" s="2"/>
      <c r="S124" s="2"/>
      <c r="T124" s="2"/>
      <c r="U124" s="2" t="s">
        <v>2046</v>
      </c>
    </row>
    <row r="125" spans="1:21" hidden="1" x14ac:dyDescent="0.25">
      <c r="A125" s="3" t="str">
        <f>INDEX('Correg (V1)'!$B:$B,MATCH($C125,'Correg (V1)'!$B:$B,0),1)</f>
        <v>J9138648-J9138648-</v>
      </c>
      <c r="B125" s="3" t="str">
        <f>INDEX('Nueva (V11)'!$B:$B,MATCH($C125,'Nueva (V11)'!$B:$B,0),1)</f>
        <v>J9138648-J9138648-</v>
      </c>
      <c r="C125" s="3" t="str">
        <f>_xlfn.TEXTJOIN("-",FALSE,$D125,$J125,$K125)</f>
        <v>J9138648-J9138648-</v>
      </c>
      <c r="D125" s="2" t="s">
        <v>689</v>
      </c>
      <c r="E125" s="2" t="s">
        <v>690</v>
      </c>
      <c r="F125" s="2" t="s">
        <v>691</v>
      </c>
      <c r="G125" s="2" t="s">
        <v>692</v>
      </c>
      <c r="H125" s="2" t="s">
        <v>2180</v>
      </c>
      <c r="I125" s="2" t="s">
        <v>693</v>
      </c>
      <c r="J125" s="2" t="s">
        <v>689</v>
      </c>
      <c r="K125" s="2"/>
      <c r="L125" s="2" t="s">
        <v>2181</v>
      </c>
      <c r="M125" s="2" t="s">
        <v>690</v>
      </c>
      <c r="N125" s="2"/>
      <c r="O125" s="2" t="s">
        <v>691</v>
      </c>
      <c r="P125" s="2"/>
      <c r="Q125" s="2" t="s">
        <v>692</v>
      </c>
      <c r="R125" s="2"/>
      <c r="S125" s="2"/>
      <c r="T125" s="2"/>
      <c r="U125" s="2" t="s">
        <v>2038</v>
      </c>
    </row>
    <row r="126" spans="1:21" hidden="1" x14ac:dyDescent="0.25">
      <c r="A126" s="3" t="str">
        <f>INDEX('Correg (V1)'!$B:$B,MATCH($C126,'Correg (V1)'!$B:$B,0),1)</f>
        <v>J9286163-J9286163-</v>
      </c>
      <c r="B126" s="3" t="str">
        <f>INDEX('Nueva (V11)'!$B:$B,MATCH($C126,'Nueva (V11)'!$B:$B,0),1)</f>
        <v>J9286163-J9286163-</v>
      </c>
      <c r="C126" s="3" t="str">
        <f>_xlfn.TEXTJOIN("-",FALSE,$D126,$J126,$K126)</f>
        <v>J9286163-J9286163-</v>
      </c>
      <c r="D126" s="2" t="s">
        <v>563</v>
      </c>
      <c r="E126" s="2" t="s">
        <v>564</v>
      </c>
      <c r="F126" s="2" t="s">
        <v>542</v>
      </c>
      <c r="G126" s="2" t="s">
        <v>565</v>
      </c>
      <c r="H126" s="2" t="s">
        <v>2133</v>
      </c>
      <c r="I126" s="2" t="s">
        <v>566</v>
      </c>
      <c r="J126" s="2" t="s">
        <v>563</v>
      </c>
      <c r="K126" s="2"/>
      <c r="L126" s="2" t="s">
        <v>2134</v>
      </c>
      <c r="M126" s="2" t="s">
        <v>564</v>
      </c>
      <c r="N126" s="2"/>
      <c r="O126" s="2" t="s">
        <v>542</v>
      </c>
      <c r="P126" s="2"/>
      <c r="Q126" s="2" t="s">
        <v>565</v>
      </c>
      <c r="R126" s="2"/>
      <c r="S126" s="2"/>
      <c r="T126" s="2"/>
      <c r="U126" s="2" t="s">
        <v>2071</v>
      </c>
    </row>
    <row r="127" spans="1:21" ht="30" hidden="1" x14ac:dyDescent="0.25">
      <c r="A127" s="3" t="str">
        <f>INDEX('Correg (V1)'!$B:$B,MATCH($C127,'Correg (V1)'!$B:$B,0),1)</f>
        <v>J9341213--J2543295</v>
      </c>
      <c r="B127" s="3" t="str">
        <f>INDEX('Nueva (V11)'!$B:$B,MATCH($C127,'Nueva (V11)'!$B:$B,0),1)</f>
        <v>J9341213--J2543295</v>
      </c>
      <c r="C127" s="3" t="str">
        <f>_xlfn.TEXTJOIN("-",FALSE,$D127,$J127,$K127)</f>
        <v>J9341213--J2543295</v>
      </c>
      <c r="D127" s="2" t="s">
        <v>826</v>
      </c>
      <c r="E127" s="2" t="s">
        <v>24</v>
      </c>
      <c r="F127" s="2" t="s">
        <v>740</v>
      </c>
      <c r="G127" s="2" t="s">
        <v>827</v>
      </c>
      <c r="H127" s="2" t="s">
        <v>2230</v>
      </c>
      <c r="I127" s="2" t="s">
        <v>828</v>
      </c>
      <c r="J127" s="2"/>
      <c r="K127" s="2" t="s">
        <v>795</v>
      </c>
      <c r="L127" s="2" t="s">
        <v>2220</v>
      </c>
      <c r="M127" s="2"/>
      <c r="N127" s="2" t="s">
        <v>796</v>
      </c>
      <c r="O127" s="2"/>
      <c r="P127" s="2" t="s">
        <v>797</v>
      </c>
      <c r="Q127" s="2"/>
      <c r="R127" s="2" t="s">
        <v>798</v>
      </c>
      <c r="S127" s="2"/>
      <c r="T127" s="2"/>
      <c r="U127" s="2" t="s">
        <v>2046</v>
      </c>
    </row>
    <row r="128" spans="1:21" hidden="1" x14ac:dyDescent="0.25">
      <c r="A128" s="3" t="str">
        <f>INDEX('Correg (V1)'!$B:$B,MATCH($C128,'Correg (V1)'!$B:$B,0),1)</f>
        <v>J9366757-J9366757-</v>
      </c>
      <c r="B128" s="3" t="str">
        <f>INDEX('Nueva (V11)'!$B:$B,MATCH($C128,'Nueva (V11)'!$B:$B,0),1)</f>
        <v>J9366757-J9366757-</v>
      </c>
      <c r="C128" s="3" t="str">
        <f>_xlfn.TEXTJOIN("-",FALSE,$D128,$J128,$K128)</f>
        <v>J9366757-J9366757-</v>
      </c>
      <c r="D128" s="2" t="s">
        <v>540</v>
      </c>
      <c r="E128" s="2" t="s">
        <v>24</v>
      </c>
      <c r="F128" s="2" t="s">
        <v>541</v>
      </c>
      <c r="G128" s="2" t="s">
        <v>542</v>
      </c>
      <c r="H128" s="2" t="s">
        <v>2121</v>
      </c>
      <c r="I128" s="2" t="s">
        <v>543</v>
      </c>
      <c r="J128" s="2" t="s">
        <v>540</v>
      </c>
      <c r="K128" s="2"/>
      <c r="L128" s="2" t="s">
        <v>2122</v>
      </c>
      <c r="M128" s="2" t="s">
        <v>24</v>
      </c>
      <c r="N128" s="2"/>
      <c r="O128" s="2" t="s">
        <v>541</v>
      </c>
      <c r="P128" s="2"/>
      <c r="Q128" s="2" t="s">
        <v>542</v>
      </c>
      <c r="R128" s="2"/>
      <c r="S128" s="2"/>
      <c r="T128" s="2"/>
      <c r="U128" s="2" t="s">
        <v>2071</v>
      </c>
    </row>
    <row r="129" spans="1:21" ht="30" hidden="1" x14ac:dyDescent="0.25">
      <c r="A129" s="3" t="str">
        <f>INDEX('Correg (V1)'!$B:$B,MATCH($C129,'Correg (V1)'!$B:$B,0),1)</f>
        <v>J9529977--C9446654</v>
      </c>
      <c r="B129" s="3" t="str">
        <f>INDEX('Nueva (V11)'!$B:$B,MATCH($C129,'Nueva (V11)'!$B:$B,0),1)</f>
        <v>J9529977--C9446654</v>
      </c>
      <c r="C129" s="3" t="str">
        <f>_xlfn.TEXTJOIN("-",FALSE,$D129,$J129,$K129)</f>
        <v>J9529977--C9446654</v>
      </c>
      <c r="D129" s="2" t="s">
        <v>844</v>
      </c>
      <c r="E129" s="2" t="s">
        <v>458</v>
      </c>
      <c r="F129" s="2" t="s">
        <v>845</v>
      </c>
      <c r="G129" s="2" t="s">
        <v>691</v>
      </c>
      <c r="H129" s="2" t="s">
        <v>2233</v>
      </c>
      <c r="I129" s="2" t="s">
        <v>2233</v>
      </c>
      <c r="J129" s="2"/>
      <c r="K129" s="2" t="s">
        <v>846</v>
      </c>
      <c r="L129" s="2" t="s">
        <v>2234</v>
      </c>
      <c r="M129" s="2"/>
      <c r="N129" s="2" t="s">
        <v>847</v>
      </c>
      <c r="O129" s="2"/>
      <c r="P129" s="2" t="s">
        <v>30</v>
      </c>
      <c r="Q129" s="2"/>
      <c r="R129" s="2" t="s">
        <v>848</v>
      </c>
      <c r="S129" s="2"/>
      <c r="T129" s="2"/>
      <c r="U129" s="2" t="s">
        <v>2083</v>
      </c>
    </row>
    <row r="130" spans="1:21" hidden="1" x14ac:dyDescent="0.25">
      <c r="A130" s="3" t="str">
        <f>INDEX('Correg (V1)'!$B:$B,MATCH($C130,'Correg (V1)'!$B:$B,0),1)</f>
        <v>J9571630--J7446134</v>
      </c>
      <c r="B130" s="3" t="str">
        <f>INDEX('Nueva (V11)'!$B:$B,MATCH($C130,'Nueva (V11)'!$B:$B,0),1)</f>
        <v>J9571630--J7446134</v>
      </c>
      <c r="C130" s="3" t="str">
        <f>_xlfn.TEXTJOIN("-",FALSE,$D130,$J130,$K130)</f>
        <v>J9571630--J7446134</v>
      </c>
      <c r="D130" s="2" t="s">
        <v>808</v>
      </c>
      <c r="E130" s="2" t="s">
        <v>809</v>
      </c>
      <c r="F130" s="2" t="s">
        <v>578</v>
      </c>
      <c r="G130" s="2" t="s">
        <v>810</v>
      </c>
      <c r="H130" s="2" t="s">
        <v>2224</v>
      </c>
      <c r="I130" s="2" t="s">
        <v>811</v>
      </c>
      <c r="J130" s="2"/>
      <c r="K130" s="2" t="s">
        <v>812</v>
      </c>
      <c r="L130" s="2" t="s">
        <v>2225</v>
      </c>
      <c r="M130" s="2"/>
      <c r="N130" s="2" t="s">
        <v>661</v>
      </c>
      <c r="O130" s="2"/>
      <c r="P130" s="2" t="s">
        <v>813</v>
      </c>
      <c r="Q130" s="2"/>
      <c r="R130" s="2" t="s">
        <v>11</v>
      </c>
      <c r="S130" s="2"/>
      <c r="T130" s="2"/>
      <c r="U130" s="2" t="s">
        <v>2046</v>
      </c>
    </row>
    <row r="131" spans="1:21" ht="30" hidden="1" x14ac:dyDescent="0.25">
      <c r="A131" s="3" t="str">
        <f>INDEX('Correg (V1)'!$B:$B,MATCH($C131,'Correg (V1)'!$B:$B,0),1)</f>
        <v>J9593148-J9593148-</v>
      </c>
      <c r="B131" s="3" t="str">
        <f>INDEX('Nueva (V11)'!$B:$B,MATCH($C131,'Nueva (V11)'!$B:$B,0),1)</f>
        <v>J9593148-J9593148-</v>
      </c>
      <c r="C131" s="3" t="str">
        <f>_xlfn.TEXTJOIN("-",FALSE,$D131,$J131,$K131)</f>
        <v>J9593148-J9593148-</v>
      </c>
      <c r="D131" s="2" t="s">
        <v>645</v>
      </c>
      <c r="E131" s="2" t="s">
        <v>646</v>
      </c>
      <c r="F131" s="2" t="s">
        <v>647</v>
      </c>
      <c r="G131" s="2" t="s">
        <v>493</v>
      </c>
      <c r="H131" s="2" t="s">
        <v>2165</v>
      </c>
      <c r="I131" s="2" t="s">
        <v>648</v>
      </c>
      <c r="J131" s="2" t="s">
        <v>645</v>
      </c>
      <c r="K131" s="2"/>
      <c r="L131" s="2" t="s">
        <v>2166</v>
      </c>
      <c r="M131" s="2" t="s">
        <v>646</v>
      </c>
      <c r="N131" s="2"/>
      <c r="O131" s="2" t="s">
        <v>647</v>
      </c>
      <c r="P131" s="2"/>
      <c r="Q131" s="2" t="s">
        <v>493</v>
      </c>
      <c r="R131" s="2"/>
      <c r="S131" s="2"/>
      <c r="T131" s="2"/>
      <c r="U131" s="2" t="s">
        <v>2038</v>
      </c>
    </row>
    <row r="132" spans="1:21" ht="30" hidden="1" x14ac:dyDescent="0.25">
      <c r="A132" s="3" t="str">
        <f>INDEX('Correg (V1)'!$B:$B,MATCH($C132,'Correg (V1)'!$B:$B,0),1)</f>
        <v>J9593148-SGID0009-</v>
      </c>
      <c r="B132" s="3" t="str">
        <f>INDEX('Nueva (V11)'!$B:$B,MATCH($C132,'Nueva (V11)'!$B:$B,0),1)</f>
        <v>J9593148-SGID0009-</v>
      </c>
      <c r="C132" s="3" t="str">
        <f>_xlfn.TEXTJOIN("-",FALSE,$D132,$J132,$K132)</f>
        <v>J9593148-SGID0009-</v>
      </c>
      <c r="D132" s="2" t="s">
        <v>645</v>
      </c>
      <c r="E132" s="2" t="s">
        <v>646</v>
      </c>
      <c r="F132" s="2" t="s">
        <v>647</v>
      </c>
      <c r="G132" s="2" t="s">
        <v>493</v>
      </c>
      <c r="H132" s="2" t="s">
        <v>2165</v>
      </c>
      <c r="I132" s="2" t="s">
        <v>648</v>
      </c>
      <c r="J132" s="2" t="s">
        <v>649</v>
      </c>
      <c r="K132" s="2"/>
      <c r="L132" s="2" t="s">
        <v>2166</v>
      </c>
      <c r="M132" s="2" t="s">
        <v>650</v>
      </c>
      <c r="N132" s="2"/>
      <c r="O132" s="2" t="s">
        <v>651</v>
      </c>
      <c r="P132" s="2"/>
      <c r="Q132" s="2"/>
      <c r="R132" s="2"/>
      <c r="S132" s="2"/>
      <c r="T132" s="2"/>
      <c r="U132" s="2" t="s">
        <v>2038</v>
      </c>
    </row>
    <row r="133" spans="1:21" ht="30" hidden="1" x14ac:dyDescent="0.25">
      <c r="A133" s="3" t="str">
        <f>INDEX('Correg (V1)'!$B:$B,MATCH($C133,'Correg (V1)'!$B:$B,0),1)</f>
        <v>J9593148-SGID1234-</v>
      </c>
      <c r="B133" s="3" t="str">
        <f>INDEX('Nueva (V11)'!$B:$B,MATCH($C133,'Nueva (V11)'!$B:$B,0),1)</f>
        <v>J9593148-SGID1234-</v>
      </c>
      <c r="C133" s="3" t="str">
        <f>_xlfn.TEXTJOIN("-",FALSE,$D133,$J133,$K133)</f>
        <v>J9593148-SGID1234-</v>
      </c>
      <c r="D133" s="2" t="s">
        <v>645</v>
      </c>
      <c r="E133" s="2" t="s">
        <v>646</v>
      </c>
      <c r="F133" s="2" t="s">
        <v>647</v>
      </c>
      <c r="G133" s="2" t="s">
        <v>493</v>
      </c>
      <c r="H133" s="2" t="s">
        <v>2165</v>
      </c>
      <c r="I133" s="2" t="s">
        <v>648</v>
      </c>
      <c r="J133" s="2" t="s">
        <v>652</v>
      </c>
      <c r="K133" s="2"/>
      <c r="L133" s="2" t="s">
        <v>2166</v>
      </c>
      <c r="M133" s="2" t="s">
        <v>650</v>
      </c>
      <c r="N133" s="2"/>
      <c r="O133" s="2" t="s">
        <v>651</v>
      </c>
      <c r="P133" s="2"/>
      <c r="Q133" s="2"/>
      <c r="R133" s="2"/>
      <c r="S133" s="2"/>
      <c r="T133" s="2"/>
      <c r="U133" s="2" t="s">
        <v>2038</v>
      </c>
    </row>
    <row r="134" spans="1:21" ht="30" hidden="1" x14ac:dyDescent="0.25">
      <c r="A134" s="3" t="str">
        <f>INDEX('Correg (V1)'!$B:$B,MATCH($C134,'Correg (V1)'!$B:$B,0),1)</f>
        <v>J9593148-SS012345-</v>
      </c>
      <c r="B134" s="3" t="str">
        <f>INDEX('Nueva (V11)'!$B:$B,MATCH($C134,'Nueva (V11)'!$B:$B,0),1)</f>
        <v>J9593148-SS012345-</v>
      </c>
      <c r="C134" s="3" t="str">
        <f>_xlfn.TEXTJOIN("-",FALSE,$D134,$J134,$K134)</f>
        <v>J9593148-SS012345-</v>
      </c>
      <c r="D134" s="2" t="s">
        <v>645</v>
      </c>
      <c r="E134" s="2" t="s">
        <v>646</v>
      </c>
      <c r="F134" s="2" t="s">
        <v>647</v>
      </c>
      <c r="G134" s="2" t="s">
        <v>493</v>
      </c>
      <c r="H134" s="2" t="s">
        <v>2165</v>
      </c>
      <c r="I134" s="2" t="s">
        <v>648</v>
      </c>
      <c r="J134" s="2" t="s">
        <v>653</v>
      </c>
      <c r="K134" s="2"/>
      <c r="L134" s="2" t="s">
        <v>2166</v>
      </c>
      <c r="M134" s="2" t="s">
        <v>654</v>
      </c>
      <c r="N134" s="2"/>
      <c r="O134" s="2" t="s">
        <v>655</v>
      </c>
      <c r="P134" s="2"/>
      <c r="Q134" s="2" t="s">
        <v>656</v>
      </c>
      <c r="R134" s="2"/>
      <c r="S134" s="2"/>
      <c r="T134" s="2"/>
      <c r="U134" s="2" t="s">
        <v>2038</v>
      </c>
    </row>
    <row r="135" spans="1:21" hidden="1" x14ac:dyDescent="0.25">
      <c r="A135" s="3" t="str">
        <f>INDEX('Correg (V1)'!$B:$B,MATCH($C135,'Correg (V1)'!$B:$B,0),1)</f>
        <v>J9850638-J9850638-</v>
      </c>
      <c r="B135" s="3" t="e">
        <f>INDEX('Nueva (V11)'!$B:$B,MATCH($C135,'Nueva (V11)'!$B:$B,0),1)</f>
        <v>#N/A</v>
      </c>
      <c r="C135" s="3" t="str">
        <f>_xlfn.TEXTJOIN("-",FALSE,$D135,$J135,$K135)</f>
        <v>J9850638-J9850638-</v>
      </c>
      <c r="D135" s="2" t="s">
        <v>966</v>
      </c>
      <c r="E135" s="2" t="s">
        <v>127</v>
      </c>
      <c r="F135" s="2" t="s">
        <v>8</v>
      </c>
      <c r="G135" s="2" t="s">
        <v>967</v>
      </c>
      <c r="H135" s="2" t="s">
        <v>2280</v>
      </c>
      <c r="I135" s="2" t="s">
        <v>854</v>
      </c>
      <c r="J135" s="2" t="s">
        <v>966</v>
      </c>
      <c r="K135" s="2"/>
      <c r="L135" s="2" t="s">
        <v>2281</v>
      </c>
      <c r="M135" s="2" t="s">
        <v>127</v>
      </c>
      <c r="N135" s="2"/>
      <c r="O135" s="2" t="s">
        <v>8</v>
      </c>
      <c r="P135" s="2"/>
      <c r="Q135" s="2" t="s">
        <v>967</v>
      </c>
      <c r="R135" s="2"/>
      <c r="S135" s="2"/>
      <c r="T135" s="2"/>
      <c r="U135" s="2" t="s">
        <v>2046</v>
      </c>
    </row>
    <row r="136" spans="1:21" hidden="1" x14ac:dyDescent="0.25">
      <c r="A136" s="3" t="str">
        <f>INDEX('Correg (V1)'!$B:$B,MATCH($C136,'Correg (V1)'!$B:$B,0),1)</f>
        <v>L0082750--M9785960</v>
      </c>
      <c r="B136" s="3" t="str">
        <f>INDEX('Nueva (V11)'!$B:$B,MATCH($C136,'Nueva (V11)'!$B:$B,0),1)</f>
        <v>L0082750--M9785960</v>
      </c>
      <c r="C136" s="3" t="str">
        <f>_xlfn.TEXTJOIN("-",FALSE,$D136,$J136,$K136)</f>
        <v>L0082750--M9785960</v>
      </c>
      <c r="D136" s="2" t="s">
        <v>850</v>
      </c>
      <c r="E136" s="2" t="s">
        <v>851</v>
      </c>
      <c r="F136" s="2" t="s">
        <v>852</v>
      </c>
      <c r="G136" s="2" t="s">
        <v>853</v>
      </c>
      <c r="H136" s="2" t="s">
        <v>2235</v>
      </c>
      <c r="I136" s="2" t="s">
        <v>2235</v>
      </c>
      <c r="J136" s="2"/>
      <c r="K136" s="2" t="s">
        <v>819</v>
      </c>
      <c r="L136" s="2" t="s">
        <v>2228</v>
      </c>
      <c r="M136" s="2"/>
      <c r="N136" s="2" t="s">
        <v>820</v>
      </c>
      <c r="O136" s="2"/>
      <c r="P136" s="2" t="s">
        <v>74</v>
      </c>
      <c r="Q136" s="2"/>
      <c r="R136" s="2" t="s">
        <v>8</v>
      </c>
      <c r="S136" s="2"/>
      <c r="T136" s="2"/>
      <c r="U136" s="2" t="s">
        <v>2083</v>
      </c>
    </row>
    <row r="137" spans="1:21" ht="30" hidden="1" x14ac:dyDescent="0.25">
      <c r="A137" s="3" t="str">
        <f>INDEX('Correg (V1)'!$B:$B,MATCH($C137,'Correg (V1)'!$B:$B,0),1)</f>
        <v>L1210414--G3229318</v>
      </c>
      <c r="B137" s="3" t="str">
        <f>INDEX('Nueva (V11)'!$B:$B,MATCH($C137,'Nueva (V11)'!$B:$B,0),1)</f>
        <v>L1210414--G3229318</v>
      </c>
      <c r="C137" s="3" t="str">
        <f>_xlfn.TEXTJOIN("-",FALSE,$D137,$J137,$K137)</f>
        <v>L1210414--G3229318</v>
      </c>
      <c r="D137" s="2" t="s">
        <v>860</v>
      </c>
      <c r="E137" s="2" t="s">
        <v>197</v>
      </c>
      <c r="F137" s="2" t="s">
        <v>21</v>
      </c>
      <c r="G137" s="2" t="s">
        <v>861</v>
      </c>
      <c r="H137" s="2" t="s">
        <v>2238</v>
      </c>
      <c r="I137" s="2" t="s">
        <v>862</v>
      </c>
      <c r="J137" s="2"/>
      <c r="K137" s="2" t="s">
        <v>791</v>
      </c>
      <c r="L137" s="2" t="s">
        <v>2219</v>
      </c>
      <c r="M137" s="2"/>
      <c r="N137" s="2" t="s">
        <v>524</v>
      </c>
      <c r="O137" s="2"/>
      <c r="P137" s="2" t="s">
        <v>792</v>
      </c>
      <c r="Q137" s="2"/>
      <c r="R137" s="2" t="s">
        <v>793</v>
      </c>
      <c r="S137" s="2"/>
      <c r="T137" s="2"/>
      <c r="U137" s="2" t="s">
        <v>2046</v>
      </c>
    </row>
    <row r="138" spans="1:21" hidden="1" x14ac:dyDescent="0.25">
      <c r="A138" s="3" t="str">
        <f>INDEX('Correg (V1)'!$B:$B,MATCH($C138,'Correg (V1)'!$B:$B,0),1)</f>
        <v>L3456848-L3456848-</v>
      </c>
      <c r="B138" s="3" t="str">
        <f>INDEX('Nueva (V11)'!$B:$B,MATCH($C138,'Nueva (V11)'!$B:$B,0),1)</f>
        <v>L3456848-L3456848-</v>
      </c>
      <c r="C138" s="3" t="str">
        <f>_xlfn.TEXTJOIN("-",FALSE,$D138,$J138,$K138)</f>
        <v>L3456848-L3456848-</v>
      </c>
      <c r="D138" s="2" t="s">
        <v>84</v>
      </c>
      <c r="E138" s="2" t="s">
        <v>85</v>
      </c>
      <c r="F138" s="2" t="s">
        <v>86</v>
      </c>
      <c r="G138" s="2" t="s">
        <v>87</v>
      </c>
      <c r="H138" s="2" t="s">
        <v>2067</v>
      </c>
      <c r="I138" s="2" t="s">
        <v>88</v>
      </c>
      <c r="J138" s="2" t="s">
        <v>84</v>
      </c>
      <c r="K138" s="2"/>
      <c r="L138" s="2" t="s">
        <v>2068</v>
      </c>
      <c r="M138" s="2" t="s">
        <v>85</v>
      </c>
      <c r="N138" s="2"/>
      <c r="O138" s="2" t="s">
        <v>86</v>
      </c>
      <c r="P138" s="2"/>
      <c r="Q138" s="2" t="s">
        <v>87</v>
      </c>
      <c r="R138" s="2"/>
      <c r="S138" s="2"/>
      <c r="T138" s="2"/>
      <c r="U138" s="2" t="s">
        <v>2038</v>
      </c>
    </row>
    <row r="139" spans="1:21" ht="30" hidden="1" x14ac:dyDescent="0.25">
      <c r="A139" s="3" t="str">
        <f>INDEX('Correg (V1)'!$B:$B,MATCH($C139,'Correg (V1)'!$B:$B,0),1)</f>
        <v>L4314652-L4314652-</v>
      </c>
      <c r="B139" s="3" t="str">
        <f>INDEX('Nueva (V11)'!$B:$B,MATCH($C139,'Nueva (V11)'!$B:$B,0),1)</f>
        <v>L4314652-L4314652-</v>
      </c>
      <c r="C139" s="3" t="str">
        <f>_xlfn.TEXTJOIN("-",FALSE,$D139,$J139,$K139)</f>
        <v>L4314652-L4314652-</v>
      </c>
      <c r="D139" s="2" t="s">
        <v>27</v>
      </c>
      <c r="E139" s="2" t="s">
        <v>28</v>
      </c>
      <c r="F139" s="2" t="s">
        <v>29</v>
      </c>
      <c r="G139" s="2" t="s">
        <v>30</v>
      </c>
      <c r="H139" s="2" t="s">
        <v>2044</v>
      </c>
      <c r="I139" s="2" t="s">
        <v>31</v>
      </c>
      <c r="J139" s="2" t="s">
        <v>27</v>
      </c>
      <c r="K139" s="2"/>
      <c r="L139" s="2" t="s">
        <v>2045</v>
      </c>
      <c r="M139" s="2" t="s">
        <v>28</v>
      </c>
      <c r="N139" s="2"/>
      <c r="O139" s="2" t="s">
        <v>29</v>
      </c>
      <c r="P139" s="2"/>
      <c r="Q139" s="2" t="s">
        <v>30</v>
      </c>
      <c r="R139" s="2"/>
      <c r="S139" s="2"/>
      <c r="T139" s="2"/>
      <c r="U139" s="2" t="s">
        <v>2046</v>
      </c>
    </row>
    <row r="140" spans="1:21" hidden="1" x14ac:dyDescent="0.25">
      <c r="A140" s="3" t="str">
        <f>INDEX('Correg (V1)'!$B:$B,MATCH($C140,'Correg (V1)'!$B:$B,0),1)</f>
        <v>L4660562-L4660562-</v>
      </c>
      <c r="B140" s="3" t="str">
        <f>INDEX('Nueva (V11)'!$B:$B,MATCH($C140,'Nueva (V11)'!$B:$B,0),1)</f>
        <v>L4660562-L4660562-</v>
      </c>
      <c r="C140" s="3" t="str">
        <f>_xlfn.TEXTJOIN("-",FALSE,$D140,$J140,$K140)</f>
        <v>L4660562-L4660562-</v>
      </c>
      <c r="D140" s="2" t="s">
        <v>735</v>
      </c>
      <c r="E140" s="2" t="s">
        <v>197</v>
      </c>
      <c r="F140" s="2" t="s">
        <v>736</v>
      </c>
      <c r="G140" s="2" t="s">
        <v>704</v>
      </c>
      <c r="H140" s="2" t="s">
        <v>2197</v>
      </c>
      <c r="I140" s="2" t="s">
        <v>737</v>
      </c>
      <c r="J140" s="2" t="s">
        <v>735</v>
      </c>
      <c r="K140" s="2"/>
      <c r="L140" s="2" t="s">
        <v>2198</v>
      </c>
      <c r="M140" s="2" t="s">
        <v>197</v>
      </c>
      <c r="N140" s="2"/>
      <c r="O140" s="2" t="s">
        <v>736</v>
      </c>
      <c r="P140" s="2"/>
      <c r="Q140" s="2" t="s">
        <v>704</v>
      </c>
      <c r="R140" s="2"/>
      <c r="S140" s="2"/>
      <c r="T140" s="2"/>
      <c r="U140" s="2" t="s">
        <v>2038</v>
      </c>
    </row>
    <row r="141" spans="1:21" ht="30" hidden="1" x14ac:dyDescent="0.25">
      <c r="A141" s="3" t="str">
        <f>INDEX('Correg (V1)'!$B:$B,MATCH($C141,'Correg (V1)'!$B:$B,0),1)</f>
        <v>L5233121-L5233121-</v>
      </c>
      <c r="B141" s="3" t="str">
        <f>INDEX('Nueva (V11)'!$B:$B,MATCH($C141,'Nueva (V11)'!$B:$B,0),1)</f>
        <v>L5233121-L5233121-</v>
      </c>
      <c r="C141" s="3" t="str">
        <f>_xlfn.TEXTJOIN("-",FALSE,$D141,$J141,$K141)</f>
        <v>L5233121-L5233121-</v>
      </c>
      <c r="D141" s="2" t="s">
        <v>702</v>
      </c>
      <c r="E141" s="2" t="s">
        <v>703</v>
      </c>
      <c r="F141" s="2" t="s">
        <v>704</v>
      </c>
      <c r="G141" s="2" t="s">
        <v>705</v>
      </c>
      <c r="H141" s="2" t="s">
        <v>2184</v>
      </c>
      <c r="I141" s="2" t="s">
        <v>706</v>
      </c>
      <c r="J141" s="2" t="s">
        <v>702</v>
      </c>
      <c r="K141" s="2"/>
      <c r="L141" s="2" t="s">
        <v>2185</v>
      </c>
      <c r="M141" s="2" t="s">
        <v>703</v>
      </c>
      <c r="N141" s="2"/>
      <c r="O141" s="2" t="s">
        <v>704</v>
      </c>
      <c r="P141" s="2"/>
      <c r="Q141" s="2" t="s">
        <v>705</v>
      </c>
      <c r="R141" s="2"/>
      <c r="S141" s="2"/>
      <c r="T141" s="2"/>
      <c r="U141" s="2" t="s">
        <v>2080</v>
      </c>
    </row>
    <row r="142" spans="1:21" ht="30" hidden="1" x14ac:dyDescent="0.25">
      <c r="A142" s="3" t="str">
        <f>INDEX('Correg (V1)'!$B:$B,MATCH($C142,'Correg (V1)'!$B:$B,0),1)</f>
        <v>L6086924--</v>
      </c>
      <c r="B142" s="3" t="e">
        <f>INDEX('Nueva (V11)'!$B:$B,MATCH($C142,'Nueva (V11)'!$B:$B,0),1)</f>
        <v>#N/A</v>
      </c>
      <c r="C142" s="3" t="str">
        <f>_xlfn.TEXTJOIN("-",FALSE,$D142,$J142,$K142)</f>
        <v>L6086924--</v>
      </c>
      <c r="D142" s="2" t="s">
        <v>1106</v>
      </c>
      <c r="E142" s="2" t="s">
        <v>1107</v>
      </c>
      <c r="F142" s="2" t="s">
        <v>29</v>
      </c>
      <c r="G142" s="2" t="s">
        <v>44</v>
      </c>
      <c r="H142" s="2" t="s">
        <v>2349</v>
      </c>
      <c r="I142" s="2" t="s">
        <v>1108</v>
      </c>
      <c r="J142" s="2"/>
      <c r="K142" s="2"/>
      <c r="L142" s="2" t="s">
        <v>2350</v>
      </c>
      <c r="M142" s="2"/>
      <c r="N142" s="2"/>
      <c r="O142" s="2"/>
      <c r="P142" s="2"/>
      <c r="Q142" s="2"/>
      <c r="R142" s="2"/>
      <c r="S142" s="2"/>
      <c r="T142" s="2"/>
      <c r="U142" s="2" t="s">
        <v>2080</v>
      </c>
    </row>
    <row r="143" spans="1:21" hidden="1" x14ac:dyDescent="0.25">
      <c r="A143" s="3" t="str">
        <f>INDEX('Correg (V1)'!$B:$B,MATCH($C143,'Correg (V1)'!$B:$B,0),1)</f>
        <v>L7371274--J1842217</v>
      </c>
      <c r="B143" s="3" t="str">
        <f>INDEX('Nueva (V11)'!$B:$B,MATCH($C143,'Nueva (V11)'!$B:$B,0),1)</f>
        <v>L7371274--J1842217</v>
      </c>
      <c r="C143" s="3" t="str">
        <f>_xlfn.TEXTJOIN("-",FALSE,$D143,$J143,$K143)</f>
        <v>L7371274--J1842217</v>
      </c>
      <c r="D143" s="2" t="s">
        <v>453</v>
      </c>
      <c r="E143" s="2" t="s">
        <v>454</v>
      </c>
      <c r="F143" s="2" t="s">
        <v>455</v>
      </c>
      <c r="G143" s="2" t="s">
        <v>29</v>
      </c>
      <c r="H143" s="2" t="s">
        <v>2086</v>
      </c>
      <c r="I143" s="2" t="s">
        <v>456</v>
      </c>
      <c r="J143" s="2"/>
      <c r="K143" s="2" t="s">
        <v>457</v>
      </c>
      <c r="L143" s="2" t="s">
        <v>2087</v>
      </c>
      <c r="M143" s="2"/>
      <c r="N143" s="2" t="s">
        <v>458</v>
      </c>
      <c r="O143" s="2"/>
      <c r="P143" s="2" t="s">
        <v>459</v>
      </c>
      <c r="Q143" s="2"/>
      <c r="R143" s="2" t="s">
        <v>460</v>
      </c>
      <c r="S143" s="2"/>
      <c r="T143" s="2"/>
      <c r="U143" s="2" t="s">
        <v>2083</v>
      </c>
    </row>
    <row r="144" spans="1:21" ht="30" hidden="1" x14ac:dyDescent="0.25">
      <c r="A144" s="3" t="str">
        <f>INDEX('Correg (V1)'!$B:$B,MATCH($C144,'Correg (V1)'!$B:$B,0),1)</f>
        <v>L7481817--R5955364</v>
      </c>
      <c r="B144" s="3" t="str">
        <f>INDEX('Nueva (V11)'!$B:$B,MATCH($C144,'Nueva (V11)'!$B:$B,0),1)</f>
        <v>L7481817--R5955364</v>
      </c>
      <c r="C144" s="3" t="str">
        <f>_xlfn.TEXTJOIN("-",FALSE,$D144,$J144,$K144)</f>
        <v>L7481817--R5955364</v>
      </c>
      <c r="D144" s="2" t="s">
        <v>629</v>
      </c>
      <c r="E144" s="2" t="s">
        <v>28</v>
      </c>
      <c r="F144" s="2" t="s">
        <v>515</v>
      </c>
      <c r="G144" s="2" t="s">
        <v>557</v>
      </c>
      <c r="H144" s="2" t="s">
        <v>2160</v>
      </c>
      <c r="I144" s="2" t="s">
        <v>630</v>
      </c>
      <c r="J144" s="2"/>
      <c r="K144" s="2" t="s">
        <v>631</v>
      </c>
      <c r="L144" s="2" t="s">
        <v>2161</v>
      </c>
      <c r="M144" s="2"/>
      <c r="N144" s="2" t="s">
        <v>632</v>
      </c>
      <c r="O144" s="2"/>
      <c r="P144" s="2" t="s">
        <v>633</v>
      </c>
      <c r="Q144" s="2"/>
      <c r="R144" s="2" t="s">
        <v>634</v>
      </c>
      <c r="S144" s="2"/>
      <c r="T144" s="2"/>
      <c r="U144" s="2" t="s">
        <v>2071</v>
      </c>
    </row>
    <row r="145" spans="1:21" ht="30" hidden="1" x14ac:dyDescent="0.25">
      <c r="A145" s="3" t="str">
        <f>INDEX('Correg (V1)'!$B:$B,MATCH($C145,'Correg (V1)'!$B:$B,0),1)</f>
        <v>L7514498-L7514498-</v>
      </c>
      <c r="B145" s="3" t="str">
        <f>INDEX('Nueva (V11)'!$B:$B,MATCH($C145,'Nueva (V11)'!$B:$B,0),1)</f>
        <v>L7514498-L7514498-</v>
      </c>
      <c r="C145" s="3" t="str">
        <f>_xlfn.TEXTJOIN("-",FALSE,$D145,$J145,$K145)</f>
        <v>L7514498-L7514498-</v>
      </c>
      <c r="D145" s="2" t="s">
        <v>751</v>
      </c>
      <c r="E145" s="2" t="s">
        <v>197</v>
      </c>
      <c r="F145" s="2" t="s">
        <v>752</v>
      </c>
      <c r="G145" s="2" t="s">
        <v>753</v>
      </c>
      <c r="H145" s="2" t="s">
        <v>2204</v>
      </c>
      <c r="I145" s="2" t="s">
        <v>754</v>
      </c>
      <c r="J145" s="2" t="s">
        <v>751</v>
      </c>
      <c r="K145" s="2"/>
      <c r="L145" s="2" t="s">
        <v>2205</v>
      </c>
      <c r="M145" s="2" t="s">
        <v>197</v>
      </c>
      <c r="N145" s="2"/>
      <c r="O145" s="2" t="s">
        <v>752</v>
      </c>
      <c r="P145" s="2"/>
      <c r="Q145" s="2" t="s">
        <v>753</v>
      </c>
      <c r="R145" s="2"/>
      <c r="S145" s="2"/>
      <c r="T145" s="2"/>
      <c r="U145" s="2" t="s">
        <v>47</v>
      </c>
    </row>
    <row r="146" spans="1:21" ht="30" hidden="1" x14ac:dyDescent="0.25">
      <c r="A146" s="5" t="e">
        <f>INDEX('Correg (V1)'!$B:$B,MATCH($C146,'Correg (V1)'!$B:$B,0),1)</f>
        <v>#N/A</v>
      </c>
      <c r="B146" s="3" t="e">
        <f>INDEX('Nueva (V11)'!$B:$B,MATCH($C146,'Nueva (V11)'!$B:$B,0),1)</f>
        <v>#N/A</v>
      </c>
      <c r="C146" s="3" t="str">
        <f>_xlfn.TEXTJOIN("-",FALSE,$D146,$J146,$K146)</f>
        <v>L7848373-L7848373-</v>
      </c>
      <c r="D146" s="2" t="s">
        <v>479</v>
      </c>
      <c r="E146" s="2" t="s">
        <v>197</v>
      </c>
      <c r="F146" s="2" t="s">
        <v>11</v>
      </c>
      <c r="G146" s="2" t="s">
        <v>480</v>
      </c>
      <c r="H146" s="2" t="s">
        <v>2095</v>
      </c>
      <c r="I146" s="2" t="s">
        <v>481</v>
      </c>
      <c r="J146" s="2" t="s">
        <v>479</v>
      </c>
      <c r="K146" s="2"/>
      <c r="L146" s="2" t="s">
        <v>2096</v>
      </c>
      <c r="M146" s="2" t="s">
        <v>197</v>
      </c>
      <c r="N146" s="2"/>
      <c r="O146" s="2" t="s">
        <v>11</v>
      </c>
      <c r="P146" s="2"/>
      <c r="Q146" s="2" t="s">
        <v>480</v>
      </c>
      <c r="R146" s="2"/>
      <c r="S146" s="2"/>
      <c r="T146" s="2"/>
      <c r="U146" s="2" t="s">
        <v>2080</v>
      </c>
    </row>
    <row r="147" spans="1:21" ht="30" hidden="1" x14ac:dyDescent="0.25">
      <c r="A147" s="3" t="str">
        <f>INDEX('Correg (V1)'!$B:$B,MATCH($C147,'Correg (V1)'!$B:$B,0),1)</f>
        <v>M0012709-M0012709-</v>
      </c>
      <c r="B147" s="3" t="str">
        <f>INDEX('Nueva (V11)'!$B:$B,MATCH($C147,'Nueva (V11)'!$B:$B,0),1)</f>
        <v>M0012709-M0012709-</v>
      </c>
      <c r="C147" s="3" t="str">
        <f>_xlfn.TEXTJOIN("-",FALSE,$D147,$J147,$K147)</f>
        <v>M0012709-M0012709-</v>
      </c>
      <c r="D147" s="2" t="s">
        <v>580</v>
      </c>
      <c r="E147" s="2" t="s">
        <v>19</v>
      </c>
      <c r="F147" s="2" t="s">
        <v>581</v>
      </c>
      <c r="G147" s="2" t="s">
        <v>582</v>
      </c>
      <c r="H147" s="2" t="s">
        <v>2140</v>
      </c>
      <c r="I147" s="2" t="s">
        <v>583</v>
      </c>
      <c r="J147" s="2" t="s">
        <v>580</v>
      </c>
      <c r="K147" s="2"/>
      <c r="L147" s="2" t="s">
        <v>2141</v>
      </c>
      <c r="M147" s="2" t="s">
        <v>19</v>
      </c>
      <c r="N147" s="2"/>
      <c r="O147" s="2" t="s">
        <v>581</v>
      </c>
      <c r="P147" s="2"/>
      <c r="Q147" s="2" t="s">
        <v>582</v>
      </c>
      <c r="R147" s="2"/>
      <c r="S147" s="2"/>
      <c r="T147" s="2"/>
      <c r="U147" s="2" t="s">
        <v>2038</v>
      </c>
    </row>
    <row r="148" spans="1:21" hidden="1" x14ac:dyDescent="0.25">
      <c r="A148" s="3" t="str">
        <f>INDEX('Correg (V1)'!$B:$B,MATCH($C148,'Correg (V1)'!$B:$B,0),1)</f>
        <v>M0144876--V2068289</v>
      </c>
      <c r="B148" s="3" t="str">
        <f>INDEX('Nueva (V11)'!$B:$B,MATCH($C148,'Nueva (V11)'!$B:$B,0),1)</f>
        <v>M0144876--V2068289</v>
      </c>
      <c r="C148" s="3" t="str">
        <f>_xlfn.TEXTJOIN("-",FALSE,$D148,$J148,$K148)</f>
        <v>M0144876--V2068289</v>
      </c>
      <c r="D148" s="2" t="s">
        <v>728</v>
      </c>
      <c r="E148" s="2" t="s">
        <v>729</v>
      </c>
      <c r="F148" s="2" t="s">
        <v>730</v>
      </c>
      <c r="G148" s="2" t="s">
        <v>731</v>
      </c>
      <c r="H148" s="2" t="s">
        <v>2195</v>
      </c>
      <c r="I148" s="2" t="s">
        <v>2195</v>
      </c>
      <c r="J148" s="2"/>
      <c r="K148" s="2" t="s">
        <v>732</v>
      </c>
      <c r="L148" s="2" t="s">
        <v>2196</v>
      </c>
      <c r="M148" s="2"/>
      <c r="N148" s="2" t="s">
        <v>60</v>
      </c>
      <c r="O148" s="2"/>
      <c r="P148" s="2" t="s">
        <v>733</v>
      </c>
      <c r="Q148" s="2"/>
      <c r="R148" s="2" t="s">
        <v>734</v>
      </c>
      <c r="S148" s="2"/>
      <c r="T148" s="2"/>
      <c r="U148" s="2" t="s">
        <v>2083</v>
      </c>
    </row>
    <row r="149" spans="1:21" ht="30" hidden="1" x14ac:dyDescent="0.25">
      <c r="A149" s="3" t="str">
        <f>INDEX('Correg (V1)'!$B:$B,MATCH($C149,'Correg (V1)'!$B:$B,0),1)</f>
        <v>M0348763--I7600760</v>
      </c>
      <c r="B149" s="3" t="e">
        <f>INDEX('Nueva (V11)'!$B:$B,MATCH($C149,'Nueva (V11)'!$B:$B,0),1)</f>
        <v>#N/A</v>
      </c>
      <c r="C149" s="3" t="str">
        <f>_xlfn.TEXTJOIN("-",FALSE,$D149,$J149,$K149)</f>
        <v>M0348763--I7600760</v>
      </c>
      <c r="D149" s="2" t="s">
        <v>1122</v>
      </c>
      <c r="E149" s="2" t="s">
        <v>1123</v>
      </c>
      <c r="F149" s="2" t="s">
        <v>12</v>
      </c>
      <c r="G149" s="2" t="s">
        <v>1124</v>
      </c>
      <c r="H149" s="2" t="s">
        <v>2356</v>
      </c>
      <c r="I149" s="2" t="s">
        <v>2356</v>
      </c>
      <c r="J149" s="2"/>
      <c r="K149" s="2" t="s">
        <v>822</v>
      </c>
      <c r="L149" s="2" t="s">
        <v>2229</v>
      </c>
      <c r="M149" s="2"/>
      <c r="N149" s="2" t="s">
        <v>823</v>
      </c>
      <c r="O149" s="2"/>
      <c r="P149" s="2" t="s">
        <v>824</v>
      </c>
      <c r="Q149" s="2"/>
      <c r="R149" s="2" t="s">
        <v>825</v>
      </c>
      <c r="S149" s="2"/>
      <c r="T149" s="2"/>
      <c r="U149" s="2" t="s">
        <v>2083</v>
      </c>
    </row>
    <row r="150" spans="1:21" ht="30" hidden="1" x14ac:dyDescent="0.25">
      <c r="A150" s="3" t="str">
        <f>INDEX('Correg (V1)'!$B:$B,MATCH($C150,'Correg (V1)'!$B:$B,0),1)</f>
        <v>M0543103-M0543103-</v>
      </c>
      <c r="B150" s="3" t="str">
        <f>INDEX('Nueva (V11)'!$B:$B,MATCH($C150,'Nueva (V11)'!$B:$B,0),1)</f>
        <v>M0543103-M0543103-</v>
      </c>
      <c r="C150" s="3" t="str">
        <f>_xlfn.TEXTJOIN("-",FALSE,$D150,$J150,$K150)</f>
        <v>M0543103-M0543103-</v>
      </c>
      <c r="D150" s="2" t="s">
        <v>713</v>
      </c>
      <c r="E150" s="2" t="s">
        <v>19</v>
      </c>
      <c r="F150" s="2" t="s">
        <v>44</v>
      </c>
      <c r="G150" s="2" t="s">
        <v>714</v>
      </c>
      <c r="H150" s="2" t="s">
        <v>2188</v>
      </c>
      <c r="I150" s="2" t="s">
        <v>715</v>
      </c>
      <c r="J150" s="2" t="s">
        <v>713</v>
      </c>
      <c r="K150" s="2"/>
      <c r="L150" s="2" t="s">
        <v>2189</v>
      </c>
      <c r="M150" s="2" t="s">
        <v>19</v>
      </c>
      <c r="N150" s="2"/>
      <c r="O150" s="2" t="s">
        <v>44</v>
      </c>
      <c r="P150" s="2"/>
      <c r="Q150" s="2" t="s">
        <v>714</v>
      </c>
      <c r="R150" s="2"/>
      <c r="S150" s="2"/>
      <c r="T150" s="2"/>
      <c r="U150" s="2" t="s">
        <v>2038</v>
      </c>
    </row>
    <row r="151" spans="1:21" hidden="1" x14ac:dyDescent="0.25">
      <c r="A151" s="3" t="str">
        <f>INDEX('Correg (V1)'!$B:$B,MATCH($C151,'Correg (V1)'!$B:$B,0),1)</f>
        <v>M0656003-M0656003-</v>
      </c>
      <c r="B151" s="3" t="str">
        <f>INDEX('Nueva (V11)'!$B:$B,MATCH($C151,'Nueva (V11)'!$B:$B,0),1)</f>
        <v>M0656003-M0656003-</v>
      </c>
      <c r="C151" s="3" t="str">
        <f>_xlfn.TEXTJOIN("-",FALSE,$D151,$J151,$K151)</f>
        <v>M0656003-M0656003-</v>
      </c>
      <c r="D151" s="2" t="s">
        <v>544</v>
      </c>
      <c r="E151" s="2" t="s">
        <v>191</v>
      </c>
      <c r="F151" s="2" t="s">
        <v>545</v>
      </c>
      <c r="G151" s="2" t="s">
        <v>546</v>
      </c>
      <c r="H151" s="2" t="s">
        <v>2123</v>
      </c>
      <c r="I151" s="2" t="s">
        <v>547</v>
      </c>
      <c r="J151" s="2" t="s">
        <v>544</v>
      </c>
      <c r="K151" s="2"/>
      <c r="L151" s="2" t="s">
        <v>2124</v>
      </c>
      <c r="M151" s="2" t="s">
        <v>191</v>
      </c>
      <c r="N151" s="2"/>
      <c r="O151" s="2" t="s">
        <v>545</v>
      </c>
      <c r="P151" s="2"/>
      <c r="Q151" s="2" t="s">
        <v>546</v>
      </c>
      <c r="R151" s="2"/>
      <c r="S151" s="2"/>
      <c r="T151" s="2"/>
      <c r="U151" s="2" t="s">
        <v>2071</v>
      </c>
    </row>
    <row r="152" spans="1:21" hidden="1" x14ac:dyDescent="0.25">
      <c r="A152" s="3" t="str">
        <f>INDEX('Correg (V1)'!$B:$B,MATCH($C152,'Correg (V1)'!$B:$B,0),1)</f>
        <v>M1155913--I7600760</v>
      </c>
      <c r="B152" s="3" t="str">
        <f>INDEX('Nueva (V11)'!$B:$B,MATCH($C152,'Nueva (V11)'!$B:$B,0),1)</f>
        <v>M1155913--I7600760</v>
      </c>
      <c r="C152" s="3" t="str">
        <f>_xlfn.TEXTJOIN("-",FALSE,$D152,$J152,$K152)</f>
        <v>M1155913--I7600760</v>
      </c>
      <c r="D152" s="2" t="s">
        <v>868</v>
      </c>
      <c r="E152" s="2" t="s">
        <v>6</v>
      </c>
      <c r="F152" s="2" t="s">
        <v>798</v>
      </c>
      <c r="G152" s="2" t="s">
        <v>869</v>
      </c>
      <c r="H152" s="2" t="s">
        <v>2240</v>
      </c>
      <c r="I152" s="2" t="s">
        <v>870</v>
      </c>
      <c r="J152" s="2"/>
      <c r="K152" s="2" t="s">
        <v>822</v>
      </c>
      <c r="L152" s="2" t="s">
        <v>2229</v>
      </c>
      <c r="M152" s="2"/>
      <c r="N152" s="2" t="s">
        <v>823</v>
      </c>
      <c r="O152" s="2"/>
      <c r="P152" s="2" t="s">
        <v>824</v>
      </c>
      <c r="Q152" s="2"/>
      <c r="R152" s="2" t="s">
        <v>825</v>
      </c>
      <c r="S152" s="2"/>
      <c r="T152" s="2"/>
      <c r="U152" s="2" t="s">
        <v>2083</v>
      </c>
    </row>
    <row r="153" spans="1:21" ht="30" hidden="1" x14ac:dyDescent="0.25">
      <c r="A153" s="3" t="str">
        <f>INDEX('Correg (V1)'!$B:$B,MATCH($C153,'Correg (V1)'!$B:$B,0),1)</f>
        <v>M1243839-M1243839-</v>
      </c>
      <c r="B153" s="3" t="str">
        <f>INDEX('Nueva (V11)'!$B:$B,MATCH($C153,'Nueva (V11)'!$B:$B,0),1)</f>
        <v>M1243839-M1243839-</v>
      </c>
      <c r="C153" s="3" t="str">
        <f>_xlfn.TEXTJOIN("-",FALSE,$D153,$J153,$K153)</f>
        <v>M1243839-M1243839-</v>
      </c>
      <c r="D153" s="2" t="s">
        <v>891</v>
      </c>
      <c r="E153" s="2" t="s">
        <v>892</v>
      </c>
      <c r="F153" s="2" t="s">
        <v>125</v>
      </c>
      <c r="G153" s="2" t="s">
        <v>74</v>
      </c>
      <c r="H153" s="2" t="s">
        <v>2249</v>
      </c>
      <c r="I153" s="2" t="s">
        <v>893</v>
      </c>
      <c r="J153" s="2" t="s">
        <v>891</v>
      </c>
      <c r="K153" s="2"/>
      <c r="L153" s="2" t="s">
        <v>2250</v>
      </c>
      <c r="M153" s="2" t="s">
        <v>892</v>
      </c>
      <c r="N153" s="2"/>
      <c r="O153" s="2" t="s">
        <v>125</v>
      </c>
      <c r="P153" s="2"/>
      <c r="Q153" s="2" t="s">
        <v>74</v>
      </c>
      <c r="R153" s="2"/>
      <c r="S153" s="2"/>
      <c r="T153" s="2"/>
      <c r="U153" s="2" t="s">
        <v>47</v>
      </c>
    </row>
    <row r="154" spans="1:21" hidden="1" x14ac:dyDescent="0.25">
      <c r="A154" s="3" t="str">
        <f>INDEX('Correg (V1)'!$B:$B,MATCH($C154,'Correg (V1)'!$B:$B,0),1)</f>
        <v>M1426435--J1842217</v>
      </c>
      <c r="B154" s="3" t="str">
        <f>INDEX('Nueva (V11)'!$B:$B,MATCH($C154,'Nueva (V11)'!$B:$B,0),1)</f>
        <v>M1426435--J1842217</v>
      </c>
      <c r="C154" s="3" t="str">
        <f>_xlfn.TEXTJOIN("-",FALSE,$D154,$J154,$K154)</f>
        <v>M1426435--J1842217</v>
      </c>
      <c r="D154" s="2" t="s">
        <v>571</v>
      </c>
      <c r="E154" s="2" t="s">
        <v>92</v>
      </c>
      <c r="F154" s="2" t="s">
        <v>572</v>
      </c>
      <c r="G154" s="2" t="s">
        <v>573</v>
      </c>
      <c r="H154" s="2" t="s">
        <v>2137</v>
      </c>
      <c r="I154" s="2" t="s">
        <v>574</v>
      </c>
      <c r="J154" s="2"/>
      <c r="K154" s="2" t="s">
        <v>457</v>
      </c>
      <c r="L154" s="2" t="s">
        <v>2087</v>
      </c>
      <c r="M154" s="2"/>
      <c r="N154" s="2" t="s">
        <v>458</v>
      </c>
      <c r="O154" s="2"/>
      <c r="P154" s="2" t="s">
        <v>459</v>
      </c>
      <c r="Q154" s="2"/>
      <c r="R154" s="2" t="s">
        <v>460</v>
      </c>
      <c r="S154" s="2"/>
      <c r="T154" s="2"/>
      <c r="U154" s="2" t="s">
        <v>2083</v>
      </c>
    </row>
    <row r="155" spans="1:21" ht="30" hidden="1" x14ac:dyDescent="0.25">
      <c r="A155" s="3" t="str">
        <f>INDEX('Correg (V1)'!$B:$B,MATCH($C155,'Correg (V1)'!$B:$B,0),1)</f>
        <v>M2662009--I6825354</v>
      </c>
      <c r="B155" s="3" t="str">
        <f>INDEX('Nueva (V11)'!$B:$B,MATCH($C155,'Nueva (V11)'!$B:$B,0),1)</f>
        <v>M2662009--I6825354</v>
      </c>
      <c r="C155" s="3" t="str">
        <f>_xlfn.TEXTJOIN("-",FALSE,$D155,$J155,$K155)</f>
        <v>M2662009--I6825354</v>
      </c>
      <c r="D155" s="2" t="s">
        <v>509</v>
      </c>
      <c r="E155" s="2" t="s">
        <v>19</v>
      </c>
      <c r="F155" s="2" t="s">
        <v>510</v>
      </c>
      <c r="G155" s="2" t="s">
        <v>511</v>
      </c>
      <c r="H155" s="2" t="s">
        <v>2110</v>
      </c>
      <c r="I155" s="2" t="s">
        <v>512</v>
      </c>
      <c r="J155" s="2"/>
      <c r="K155" s="2" t="s">
        <v>491</v>
      </c>
      <c r="L155" s="2" t="s">
        <v>2102</v>
      </c>
      <c r="M155" s="2"/>
      <c r="N155" s="2" t="s">
        <v>492</v>
      </c>
      <c r="O155" s="2"/>
      <c r="P155" s="2" t="s">
        <v>493</v>
      </c>
      <c r="Q155" s="2"/>
      <c r="R155" s="2" t="s">
        <v>60</v>
      </c>
      <c r="S155" s="2"/>
      <c r="T155" s="2"/>
      <c r="U155" s="2" t="s">
        <v>2083</v>
      </c>
    </row>
    <row r="156" spans="1:21" hidden="1" x14ac:dyDescent="0.25">
      <c r="A156" s="3" t="str">
        <f>INDEX('Correg (V1)'!$B:$B,MATCH($C156,'Correg (V1)'!$B:$B,0),1)</f>
        <v>M2800289--A7527556</v>
      </c>
      <c r="B156" s="3" t="str">
        <f>INDEX('Nueva (V11)'!$B:$B,MATCH($C156,'Nueva (V11)'!$B:$B,0),1)</f>
        <v>M2800289--A7527556</v>
      </c>
      <c r="C156" s="3" t="str">
        <f>_xlfn.TEXTJOIN("-",FALSE,$D156,$J156,$K156)</f>
        <v>M2800289--A7527556</v>
      </c>
      <c r="D156" s="2" t="s">
        <v>922</v>
      </c>
      <c r="E156" s="2" t="s">
        <v>568</v>
      </c>
      <c r="F156" s="2" t="s">
        <v>44</v>
      </c>
      <c r="G156" s="2" t="s">
        <v>704</v>
      </c>
      <c r="H156" s="2" t="s">
        <v>2261</v>
      </c>
      <c r="I156" s="2" t="s">
        <v>2261</v>
      </c>
      <c r="J156" s="2"/>
      <c r="K156" s="2" t="s">
        <v>923</v>
      </c>
      <c r="L156" s="2" t="s">
        <v>2262</v>
      </c>
      <c r="M156" s="2"/>
      <c r="N156" s="2" t="s">
        <v>924</v>
      </c>
      <c r="O156" s="2"/>
      <c r="P156" s="2" t="s">
        <v>925</v>
      </c>
      <c r="Q156" s="2"/>
      <c r="R156" s="2" t="s">
        <v>926</v>
      </c>
      <c r="S156" s="2"/>
      <c r="T156" s="2"/>
      <c r="U156" s="2" t="s">
        <v>2083</v>
      </c>
    </row>
    <row r="157" spans="1:21" ht="30" hidden="1" x14ac:dyDescent="0.25">
      <c r="A157" s="3" t="str">
        <f>INDEX('Correg (V1)'!$B:$B,MATCH($C157,'Correg (V1)'!$B:$B,0),1)</f>
        <v>M3402949--V2925369</v>
      </c>
      <c r="B157" s="3" t="str">
        <f>INDEX('Nueva (V11)'!$B:$B,MATCH($C157,'Nueva (V11)'!$B:$B,0),1)</f>
        <v>M3402949--V2925369</v>
      </c>
      <c r="C157" s="3" t="str">
        <f>_xlfn.TEXTJOIN("-",FALSE,$D157,$J157,$K157)</f>
        <v>M3402949--V2925369</v>
      </c>
      <c r="D157" s="2" t="s">
        <v>772</v>
      </c>
      <c r="E157" s="2" t="s">
        <v>19</v>
      </c>
      <c r="F157" s="2" t="s">
        <v>773</v>
      </c>
      <c r="G157" s="2" t="s">
        <v>700</v>
      </c>
      <c r="H157" s="2" t="s">
        <v>2212</v>
      </c>
      <c r="I157" s="2" t="s">
        <v>774</v>
      </c>
      <c r="J157" s="2"/>
      <c r="K157" s="2" t="s">
        <v>763</v>
      </c>
      <c r="L157" s="2" t="s">
        <v>2209</v>
      </c>
      <c r="M157" s="2"/>
      <c r="N157" s="2" t="s">
        <v>764</v>
      </c>
      <c r="O157" s="2"/>
      <c r="P157" s="2" t="s">
        <v>765</v>
      </c>
      <c r="Q157" s="2"/>
      <c r="R157" s="2" t="s">
        <v>766</v>
      </c>
      <c r="S157" s="2"/>
      <c r="T157" s="2"/>
      <c r="U157" s="2" t="s">
        <v>2083</v>
      </c>
    </row>
    <row r="158" spans="1:21" hidden="1" x14ac:dyDescent="0.25">
      <c r="A158" s="3" t="str">
        <f>INDEX('Correg (V1)'!$B:$B,MATCH($C158,'Correg (V1)'!$B:$B,0),1)</f>
        <v>M3569866-M3569866-</v>
      </c>
      <c r="B158" s="3" t="e">
        <f>INDEX('Nueva (V11)'!$B:$B,MATCH($C158,'Nueva (V11)'!$B:$B,0),1)</f>
        <v>#N/A</v>
      </c>
      <c r="C158" s="3" t="str">
        <f>_xlfn.TEXTJOIN("-",FALSE,$D158,$J158,$K158)</f>
        <v>M3569866-M3569866-</v>
      </c>
      <c r="D158" s="2" t="s">
        <v>5</v>
      </c>
      <c r="E158" s="2" t="s">
        <v>6</v>
      </c>
      <c r="F158" s="2" t="s">
        <v>7</v>
      </c>
      <c r="G158" s="2" t="s">
        <v>8</v>
      </c>
      <c r="H158" s="2" t="s">
        <v>2037</v>
      </c>
      <c r="I158" s="2" t="s">
        <v>994</v>
      </c>
      <c r="J158" s="2" t="s">
        <v>5</v>
      </c>
      <c r="K158" s="2"/>
      <c r="L158" s="2" t="s">
        <v>2293</v>
      </c>
      <c r="M158" s="2" t="s">
        <v>6</v>
      </c>
      <c r="N158" s="2"/>
      <c r="O158" s="2" t="s">
        <v>7</v>
      </c>
      <c r="P158" s="2"/>
      <c r="Q158" s="2" t="s">
        <v>8</v>
      </c>
      <c r="R158" s="2"/>
      <c r="S158" s="2"/>
      <c r="T158" s="2"/>
      <c r="U158" s="2" t="s">
        <v>2038</v>
      </c>
    </row>
    <row r="159" spans="1:21" hidden="1" x14ac:dyDescent="0.25">
      <c r="A159" s="3" t="str">
        <f>INDEX('Correg (V1)'!$B:$B,MATCH($C159,'Correg (V1)'!$B:$B,0),1)</f>
        <v>M3989973-M3989973-</v>
      </c>
      <c r="B159" s="3" t="str">
        <f>INDEX('Nueva (V11)'!$B:$B,MATCH($C159,'Nueva (V11)'!$B:$B,0),1)</f>
        <v>M3989973-M3989973-</v>
      </c>
      <c r="C159" s="3" t="str">
        <f>_xlfn.TEXTJOIN("-",FALSE,$D159,$J159,$K159)</f>
        <v>M3989973-M3989973-</v>
      </c>
      <c r="D159" s="2" t="s">
        <v>567</v>
      </c>
      <c r="E159" s="2" t="s">
        <v>568</v>
      </c>
      <c r="F159" s="2" t="s">
        <v>12</v>
      </c>
      <c r="G159" s="2" t="s">
        <v>569</v>
      </c>
      <c r="H159" s="2" t="s">
        <v>2135</v>
      </c>
      <c r="I159" s="2" t="s">
        <v>570</v>
      </c>
      <c r="J159" s="2" t="s">
        <v>567</v>
      </c>
      <c r="K159" s="2"/>
      <c r="L159" s="2" t="s">
        <v>2136</v>
      </c>
      <c r="M159" s="2" t="s">
        <v>568</v>
      </c>
      <c r="N159" s="2"/>
      <c r="O159" s="2" t="s">
        <v>12</v>
      </c>
      <c r="P159" s="2"/>
      <c r="Q159" s="2" t="s">
        <v>569</v>
      </c>
      <c r="R159" s="2"/>
      <c r="S159" s="2"/>
      <c r="T159" s="2"/>
      <c r="U159" s="2" t="s">
        <v>2071</v>
      </c>
    </row>
    <row r="160" spans="1:21" ht="30" hidden="1" x14ac:dyDescent="0.25">
      <c r="A160" s="3" t="str">
        <f>INDEX('Correg (V1)'!$B:$B,MATCH($C160,'Correg (V1)'!$B:$B,0),1)</f>
        <v>M4465700--I7600760</v>
      </c>
      <c r="B160" s="3" t="e">
        <f>INDEX('Nueva (V11)'!$B:$B,MATCH($C160,'Nueva (V11)'!$B:$B,0),1)</f>
        <v>#N/A</v>
      </c>
      <c r="C160" s="3" t="str">
        <f>_xlfn.TEXTJOIN("-",FALSE,$D160,$J160,$K160)</f>
        <v>M4465700--I7600760</v>
      </c>
      <c r="D160" s="2" t="s">
        <v>1109</v>
      </c>
      <c r="E160" s="2" t="s">
        <v>820</v>
      </c>
      <c r="F160" s="2" t="s">
        <v>1110</v>
      </c>
      <c r="G160" s="2" t="s">
        <v>1111</v>
      </c>
      <c r="H160" s="2" t="s">
        <v>2351</v>
      </c>
      <c r="I160" s="2" t="s">
        <v>1112</v>
      </c>
      <c r="J160" s="2"/>
      <c r="K160" s="2" t="s">
        <v>822</v>
      </c>
      <c r="L160" s="2" t="s">
        <v>2229</v>
      </c>
      <c r="M160" s="2"/>
      <c r="N160" s="2" t="s">
        <v>823</v>
      </c>
      <c r="O160" s="2"/>
      <c r="P160" s="2" t="s">
        <v>824</v>
      </c>
      <c r="Q160" s="2"/>
      <c r="R160" s="2" t="s">
        <v>825</v>
      </c>
      <c r="S160" s="2"/>
      <c r="T160" s="2"/>
      <c r="U160" s="2" t="s">
        <v>2083</v>
      </c>
    </row>
    <row r="161" spans="1:21" ht="30" hidden="1" x14ac:dyDescent="0.25">
      <c r="A161" s="3" t="str">
        <f>INDEX('Correg (V1)'!$B:$B,MATCH($C161,'Correg (V1)'!$B:$B,0),1)</f>
        <v>M4485241-M4485241-</v>
      </c>
      <c r="B161" s="3" t="e">
        <f>INDEX('Nueva (V11)'!$B:$B,MATCH($C161,'Nueva (V11)'!$B:$B,0),1)</f>
        <v>#N/A</v>
      </c>
      <c r="C161" s="3" t="str">
        <f>_xlfn.TEXTJOIN("-",FALSE,$D161,$J161,$K161)</f>
        <v>M4485241-M4485241-</v>
      </c>
      <c r="D161" s="2" t="s">
        <v>1137</v>
      </c>
      <c r="E161" s="2" t="s">
        <v>1138</v>
      </c>
      <c r="F161" s="2" t="s">
        <v>1139</v>
      </c>
      <c r="G161" s="2" t="s">
        <v>1140</v>
      </c>
      <c r="H161" s="2" t="s">
        <v>2364</v>
      </c>
      <c r="I161" s="2" t="s">
        <v>1141</v>
      </c>
      <c r="J161" s="2" t="s">
        <v>1137</v>
      </c>
      <c r="K161" s="2"/>
      <c r="L161" s="2" t="s">
        <v>2365</v>
      </c>
      <c r="M161" s="2" t="s">
        <v>1138</v>
      </c>
      <c r="N161" s="2"/>
      <c r="O161" s="2" t="s">
        <v>1139</v>
      </c>
      <c r="P161" s="2"/>
      <c r="Q161" s="2" t="s">
        <v>1140</v>
      </c>
      <c r="R161" s="2"/>
      <c r="S161" s="2"/>
      <c r="T161" s="2"/>
      <c r="U161" s="2" t="s">
        <v>2038</v>
      </c>
    </row>
    <row r="162" spans="1:21" hidden="1" x14ac:dyDescent="0.25">
      <c r="A162" s="3" t="str">
        <f>INDEX('Correg (V1)'!$B:$B,MATCH($C162,'Correg (V1)'!$B:$B,0),1)</f>
        <v>M4581480-M4581480-</v>
      </c>
      <c r="B162" s="3" t="e">
        <f>INDEX('Nueva (V11)'!$B:$B,MATCH($C162,'Nueva (V11)'!$B:$B,0),1)</f>
        <v>#N/A</v>
      </c>
      <c r="C162" s="3" t="str">
        <f>_xlfn.TEXTJOIN("-",FALSE,$D162,$J162,$K162)</f>
        <v>M4581480-M4581480-</v>
      </c>
      <c r="D162" s="2" t="s">
        <v>538</v>
      </c>
      <c r="E162" s="2" t="s">
        <v>92</v>
      </c>
      <c r="F162" s="2" t="s">
        <v>539</v>
      </c>
      <c r="G162" s="2" t="s">
        <v>468</v>
      </c>
      <c r="H162" s="2" t="s">
        <v>2120</v>
      </c>
      <c r="I162" s="2" t="s">
        <v>1050</v>
      </c>
      <c r="J162" s="2" t="s">
        <v>538</v>
      </c>
      <c r="K162" s="2"/>
      <c r="L162" s="2" t="s">
        <v>2324</v>
      </c>
      <c r="M162" s="2" t="s">
        <v>92</v>
      </c>
      <c r="N162" s="2"/>
      <c r="O162" s="2" t="s">
        <v>539</v>
      </c>
      <c r="P162" s="2"/>
      <c r="Q162" s="2" t="s">
        <v>468</v>
      </c>
      <c r="R162" s="2"/>
      <c r="S162" s="2"/>
      <c r="T162" s="2"/>
      <c r="U162" s="2" t="s">
        <v>2071</v>
      </c>
    </row>
    <row r="163" spans="1:21" ht="30" hidden="1" x14ac:dyDescent="0.25">
      <c r="A163" s="3" t="str">
        <f>INDEX('Correg (V1)'!$B:$B,MATCH($C163,'Correg (V1)'!$B:$B,0),1)</f>
        <v>M5277654-M5277654-</v>
      </c>
      <c r="B163" s="3" t="e">
        <f>INDEX('Nueva (V11)'!$B:$B,MATCH($C163,'Nueva (V11)'!$B:$B,0),1)</f>
        <v>#N/A</v>
      </c>
      <c r="C163" s="3" t="str">
        <f>_xlfn.TEXTJOIN("-",FALSE,$D163,$J163,$K163)</f>
        <v>M5277654-M5277654-</v>
      </c>
      <c r="D163" s="2" t="s">
        <v>1130</v>
      </c>
      <c r="E163" s="2" t="s">
        <v>19</v>
      </c>
      <c r="F163" s="2" t="s">
        <v>1131</v>
      </c>
      <c r="G163" s="2" t="s">
        <v>44</v>
      </c>
      <c r="H163" s="2" t="s">
        <v>2360</v>
      </c>
      <c r="I163" s="2" t="s">
        <v>1132</v>
      </c>
      <c r="J163" s="2" t="s">
        <v>1130</v>
      </c>
      <c r="K163" s="2"/>
      <c r="L163" s="2" t="s">
        <v>2361</v>
      </c>
      <c r="M163" s="2" t="s">
        <v>19</v>
      </c>
      <c r="N163" s="2"/>
      <c r="O163" s="2" t="s">
        <v>1131</v>
      </c>
      <c r="P163" s="2"/>
      <c r="Q163" s="2" t="s">
        <v>44</v>
      </c>
      <c r="R163" s="2"/>
      <c r="S163" s="2"/>
      <c r="T163" s="2"/>
      <c r="U163" s="2" t="s">
        <v>2038</v>
      </c>
    </row>
    <row r="164" spans="1:21" ht="30" hidden="1" x14ac:dyDescent="0.25">
      <c r="A164" s="3" t="str">
        <f>INDEX('Correg (V1)'!$B:$B,MATCH($C164,'Correg (V1)'!$B:$B,0),1)</f>
        <v>M5535070-M5535070-</v>
      </c>
      <c r="B164" s="3" t="e">
        <f>INDEX('Nueva (V11)'!$B:$B,MATCH($C164,'Nueva (V11)'!$B:$B,0),1)</f>
        <v>#N/A</v>
      </c>
      <c r="C164" s="3" t="str">
        <f>_xlfn.TEXTJOIN("-",FALSE,$D164,$J164,$K164)</f>
        <v>M5535070-M5535070-</v>
      </c>
      <c r="D164" s="2" t="s">
        <v>1037</v>
      </c>
      <c r="E164" s="2" t="s">
        <v>92</v>
      </c>
      <c r="F164" s="2" t="s">
        <v>444</v>
      </c>
      <c r="G164" s="2" t="s">
        <v>1038</v>
      </c>
      <c r="H164" s="2" t="s">
        <v>2315</v>
      </c>
      <c r="I164" s="2" t="s">
        <v>1039</v>
      </c>
      <c r="J164" s="2" t="s">
        <v>1037</v>
      </c>
      <c r="K164" s="2"/>
      <c r="L164" s="2" t="s">
        <v>2316</v>
      </c>
      <c r="M164" s="2" t="s">
        <v>92</v>
      </c>
      <c r="N164" s="2"/>
      <c r="O164" s="2" t="s">
        <v>444</v>
      </c>
      <c r="P164" s="2"/>
      <c r="Q164" s="2" t="s">
        <v>1038</v>
      </c>
      <c r="R164" s="2"/>
      <c r="S164" s="2"/>
      <c r="T164" s="2"/>
      <c r="U164" s="2" t="s">
        <v>2080</v>
      </c>
    </row>
    <row r="165" spans="1:21" hidden="1" x14ac:dyDescent="0.25">
      <c r="A165" s="3" t="str">
        <f>INDEX('Correg (V1)'!$B:$B,MATCH($C165,'Correg (V1)'!$B:$B,0),1)</f>
        <v>M5904071-M5904071-</v>
      </c>
      <c r="B165" s="3" t="str">
        <f>INDEX('Nueva (V11)'!$B:$B,MATCH($C165,'Nueva (V11)'!$B:$B,0),1)</f>
        <v>M5904071-M5904071-</v>
      </c>
      <c r="C165" s="3" t="str">
        <f>_xlfn.TEXTJOIN("-",FALSE,$D165,$J165,$K165)</f>
        <v>M5904071-M5904071-</v>
      </c>
      <c r="D165" s="2" t="s">
        <v>624</v>
      </c>
      <c r="E165" s="2" t="s">
        <v>625</v>
      </c>
      <c r="F165" s="2" t="s">
        <v>626</v>
      </c>
      <c r="G165" s="2" t="s">
        <v>627</v>
      </c>
      <c r="H165" s="2" t="s">
        <v>2158</v>
      </c>
      <c r="I165" s="2" t="s">
        <v>628</v>
      </c>
      <c r="J165" s="2" t="s">
        <v>624</v>
      </c>
      <c r="K165" s="2"/>
      <c r="L165" s="2" t="s">
        <v>2159</v>
      </c>
      <c r="M165" s="2" t="s">
        <v>625</v>
      </c>
      <c r="N165" s="2"/>
      <c r="O165" s="2" t="s">
        <v>626</v>
      </c>
      <c r="P165" s="2"/>
      <c r="Q165" s="2" t="s">
        <v>627</v>
      </c>
      <c r="R165" s="2"/>
      <c r="S165" s="2"/>
      <c r="T165" s="2"/>
      <c r="U165" s="2" t="s">
        <v>2071</v>
      </c>
    </row>
    <row r="166" spans="1:21" hidden="1" x14ac:dyDescent="0.25">
      <c r="A166" s="3" t="str">
        <f>INDEX('Correg (V1)'!$B:$B,MATCH($C166,'Correg (V1)'!$B:$B,0),1)</f>
        <v>M6667228--G3229318</v>
      </c>
      <c r="B166" s="3" t="str">
        <f>INDEX('Nueva (V11)'!$B:$B,MATCH($C166,'Nueva (V11)'!$B:$B,0),1)</f>
        <v>M6667228--G3229318</v>
      </c>
      <c r="C166" s="3" t="str">
        <f>_xlfn.TEXTJOIN("-",FALSE,$D166,$J166,$K166)</f>
        <v>M6667228--G3229318</v>
      </c>
      <c r="D166" s="2" t="s">
        <v>863</v>
      </c>
      <c r="E166" s="2" t="s">
        <v>864</v>
      </c>
      <c r="F166" s="2" t="s">
        <v>865</v>
      </c>
      <c r="G166" s="2" t="s">
        <v>866</v>
      </c>
      <c r="H166" s="2" t="s">
        <v>2239</v>
      </c>
      <c r="I166" s="2" t="s">
        <v>867</v>
      </c>
      <c r="J166" s="2"/>
      <c r="K166" s="2" t="s">
        <v>791</v>
      </c>
      <c r="L166" s="2" t="s">
        <v>2219</v>
      </c>
      <c r="M166" s="2"/>
      <c r="N166" s="2" t="s">
        <v>524</v>
      </c>
      <c r="O166" s="2"/>
      <c r="P166" s="2" t="s">
        <v>792</v>
      </c>
      <c r="Q166" s="2"/>
      <c r="R166" s="2" t="s">
        <v>793</v>
      </c>
      <c r="S166" s="2"/>
      <c r="T166" s="2"/>
      <c r="U166" s="2" t="s">
        <v>2046</v>
      </c>
    </row>
    <row r="167" spans="1:21" hidden="1" x14ac:dyDescent="0.25">
      <c r="A167" s="3" t="str">
        <f>INDEX('Correg (V1)'!$B:$B,MATCH($C167,'Correg (V1)'!$B:$B,0),1)</f>
        <v>M6674420-M6674420-</v>
      </c>
      <c r="B167" s="3" t="e">
        <f>INDEX('Nueva (V11)'!$B:$B,MATCH($C167,'Nueva (V11)'!$B:$B,0),1)</f>
        <v>#N/A</v>
      </c>
      <c r="C167" s="3" t="str">
        <f>_xlfn.TEXTJOIN("-",FALSE,$D167,$J167,$K167)</f>
        <v>M6674420-M6674420-</v>
      </c>
      <c r="D167" s="2" t="s">
        <v>1089</v>
      </c>
      <c r="E167" s="2" t="s">
        <v>191</v>
      </c>
      <c r="F167" s="2" t="s">
        <v>1090</v>
      </c>
      <c r="G167" s="2" t="s">
        <v>1091</v>
      </c>
      <c r="H167" s="2" t="s">
        <v>2342</v>
      </c>
      <c r="I167" s="2" t="s">
        <v>1092</v>
      </c>
      <c r="J167" s="2" t="s">
        <v>1089</v>
      </c>
      <c r="K167" s="2"/>
      <c r="L167" s="2" t="s">
        <v>2343</v>
      </c>
      <c r="M167" s="2" t="s">
        <v>191</v>
      </c>
      <c r="N167" s="2"/>
      <c r="O167" s="2" t="s">
        <v>1090</v>
      </c>
      <c r="P167" s="2"/>
      <c r="Q167" s="2" t="s">
        <v>1091</v>
      </c>
      <c r="R167" s="2"/>
      <c r="S167" s="2"/>
      <c r="T167" s="2"/>
      <c r="U167" s="2" t="s">
        <v>2038</v>
      </c>
    </row>
    <row r="168" spans="1:21" ht="30" hidden="1" x14ac:dyDescent="0.25">
      <c r="A168" s="3" t="str">
        <f>INDEX('Correg (V1)'!$B:$B,MATCH($C168,'Correg (V1)'!$B:$B,0),1)</f>
        <v>M7668816--J5391663</v>
      </c>
      <c r="B168" s="3" t="str">
        <f>INDEX('Nueva (V11)'!$B:$B,MATCH($C168,'Nueva (V11)'!$B:$B,0),1)</f>
        <v>M7668816--J5391663</v>
      </c>
      <c r="C168" s="3" t="str">
        <f>_xlfn.TEXTJOIN("-",FALSE,$D168,$J168,$K168)</f>
        <v>M7668816--J5391663</v>
      </c>
      <c r="D168" s="2" t="s">
        <v>18</v>
      </c>
      <c r="E168" s="2" t="s">
        <v>19</v>
      </c>
      <c r="F168" s="2" t="s">
        <v>20</v>
      </c>
      <c r="G168" s="2" t="s">
        <v>21</v>
      </c>
      <c r="H168" s="2" t="s">
        <v>2042</v>
      </c>
      <c r="I168" s="2" t="s">
        <v>22</v>
      </c>
      <c r="J168" s="2"/>
      <c r="K168" s="2" t="s">
        <v>23</v>
      </c>
      <c r="L168" s="2" t="s">
        <v>2043</v>
      </c>
      <c r="M168" s="2"/>
      <c r="N168" s="2" t="s">
        <v>24</v>
      </c>
      <c r="O168" s="2"/>
      <c r="P168" s="2" t="s">
        <v>25</v>
      </c>
      <c r="Q168" s="2"/>
      <c r="R168" s="2" t="s">
        <v>26</v>
      </c>
      <c r="S168" s="2"/>
      <c r="T168" s="2"/>
      <c r="U168" s="2" t="s">
        <v>2038</v>
      </c>
    </row>
    <row r="169" spans="1:21" ht="30" hidden="1" x14ac:dyDescent="0.25">
      <c r="A169" s="3" t="str">
        <f>INDEX('Correg (V1)'!$B:$B,MATCH($C169,'Correg (V1)'!$B:$B,0),1)</f>
        <v>M7677633--J3490141</v>
      </c>
      <c r="B169" s="3" t="str">
        <f>INDEX('Nueva (V11)'!$B:$B,MATCH($C169,'Nueva (V11)'!$B:$B,0),1)</f>
        <v>M7677633--J3490141</v>
      </c>
      <c r="C169" s="3" t="str">
        <f>_xlfn.TEXTJOIN("-",FALSE,$D169,$J169,$K169)</f>
        <v>M7677633--J3490141</v>
      </c>
      <c r="D169" s="2" t="s">
        <v>623</v>
      </c>
      <c r="E169" s="2" t="s">
        <v>19</v>
      </c>
      <c r="F169" s="2" t="s">
        <v>586</v>
      </c>
      <c r="G169" s="2" t="s">
        <v>8</v>
      </c>
      <c r="H169" s="2" t="s">
        <v>2157</v>
      </c>
      <c r="I169" s="2" t="s">
        <v>2157</v>
      </c>
      <c r="J169" s="2"/>
      <c r="K169" s="2" t="s">
        <v>594</v>
      </c>
      <c r="L169" s="2" t="s">
        <v>2146</v>
      </c>
      <c r="M169" s="2"/>
      <c r="N169" s="2" t="s">
        <v>438</v>
      </c>
      <c r="O169" s="2"/>
      <c r="P169" s="2" t="s">
        <v>595</v>
      </c>
      <c r="Q169" s="2"/>
      <c r="R169" s="2" t="s">
        <v>596</v>
      </c>
      <c r="S169" s="2"/>
      <c r="T169" s="2"/>
      <c r="U169" s="2" t="s">
        <v>2083</v>
      </c>
    </row>
    <row r="170" spans="1:21" ht="30" hidden="1" x14ac:dyDescent="0.25">
      <c r="A170" s="3" t="str">
        <f>INDEX('Correg (V1)'!$B:$B,MATCH($C170,'Correg (V1)'!$B:$B,0),1)</f>
        <v>M8781732--V2925369</v>
      </c>
      <c r="B170" s="3" t="str">
        <f>INDEX('Nueva (V11)'!$B:$B,MATCH($C170,'Nueva (V11)'!$B:$B,0),1)</f>
        <v>M8781732--V2925369</v>
      </c>
      <c r="C170" s="3" t="str">
        <f>_xlfn.TEXTJOIN("-",FALSE,$D170,$J170,$K170)</f>
        <v>M8781732--V2925369</v>
      </c>
      <c r="D170" s="2" t="s">
        <v>761</v>
      </c>
      <c r="E170" s="2" t="s">
        <v>19</v>
      </c>
      <c r="F170" s="2" t="s">
        <v>29</v>
      </c>
      <c r="G170" s="2" t="s">
        <v>762</v>
      </c>
      <c r="H170" s="2" t="s">
        <v>2208</v>
      </c>
      <c r="I170" s="2" t="s">
        <v>2208</v>
      </c>
      <c r="J170" s="2"/>
      <c r="K170" s="2" t="s">
        <v>763</v>
      </c>
      <c r="L170" s="2" t="s">
        <v>2209</v>
      </c>
      <c r="M170" s="2"/>
      <c r="N170" s="2" t="s">
        <v>764</v>
      </c>
      <c r="O170" s="2"/>
      <c r="P170" s="2" t="s">
        <v>765</v>
      </c>
      <c r="Q170" s="2"/>
      <c r="R170" s="2" t="s">
        <v>766</v>
      </c>
      <c r="S170" s="2"/>
      <c r="T170" s="2"/>
      <c r="U170" s="2" t="s">
        <v>2083</v>
      </c>
    </row>
    <row r="171" spans="1:21" hidden="1" x14ac:dyDescent="0.25">
      <c r="A171" s="3" t="str">
        <f>INDEX('Correg (V1)'!$B:$B,MATCH($C171,'Correg (V1)'!$B:$B,0),1)</f>
        <v>M9111698--I7600760</v>
      </c>
      <c r="B171" s="3" t="str">
        <f>INDEX('Nueva (V11)'!$B:$B,MATCH($C171,'Nueva (V11)'!$B:$B,0),1)</f>
        <v>M9111698--I7600760</v>
      </c>
      <c r="C171" s="3" t="str">
        <f>_xlfn.TEXTJOIN("-",FALSE,$D171,$J171,$K171)</f>
        <v>M9111698--I7600760</v>
      </c>
      <c r="D171" s="2" t="s">
        <v>880</v>
      </c>
      <c r="E171" s="2" t="s">
        <v>881</v>
      </c>
      <c r="F171" s="2" t="s">
        <v>882</v>
      </c>
      <c r="G171" s="2" t="s">
        <v>883</v>
      </c>
      <c r="H171" s="2" t="s">
        <v>2245</v>
      </c>
      <c r="I171" s="2" t="s">
        <v>2245</v>
      </c>
      <c r="J171" s="2"/>
      <c r="K171" s="2" t="s">
        <v>822</v>
      </c>
      <c r="L171" s="2" t="s">
        <v>2229</v>
      </c>
      <c r="M171" s="2"/>
      <c r="N171" s="2" t="s">
        <v>823</v>
      </c>
      <c r="O171" s="2"/>
      <c r="P171" s="2" t="s">
        <v>824</v>
      </c>
      <c r="Q171" s="2"/>
      <c r="R171" s="2" t="s">
        <v>825</v>
      </c>
      <c r="S171" s="2"/>
      <c r="T171" s="2"/>
      <c r="U171" s="2" t="s">
        <v>2083</v>
      </c>
    </row>
    <row r="172" spans="1:21" ht="30" hidden="1" x14ac:dyDescent="0.25">
      <c r="A172" s="3" t="str">
        <f>INDEX('Correg (V1)'!$B:$B,MATCH($C172,'Correg (V1)'!$B:$B,0),1)</f>
        <v>M9469528-M9469528-</v>
      </c>
      <c r="B172" s="3" t="e">
        <f>INDEX('Nueva (V11)'!$B:$B,MATCH($C172,'Nueva (V11)'!$B:$B,0),1)</f>
        <v>#N/A</v>
      </c>
      <c r="C172" s="3" t="str">
        <f>_xlfn.TEXTJOIN("-",FALSE,$D172,$J172,$K172)</f>
        <v>M9469528-M9469528-</v>
      </c>
      <c r="D172" s="2" t="s">
        <v>1125</v>
      </c>
      <c r="E172" s="2" t="s">
        <v>19</v>
      </c>
      <c r="F172" s="2" t="s">
        <v>1126</v>
      </c>
      <c r="G172" s="2" t="s">
        <v>11</v>
      </c>
      <c r="H172" s="2" t="s">
        <v>2357</v>
      </c>
      <c r="I172" s="2" t="s">
        <v>1127</v>
      </c>
      <c r="J172" s="2" t="s">
        <v>1125</v>
      </c>
      <c r="K172" s="2"/>
      <c r="L172" s="2" t="s">
        <v>2358</v>
      </c>
      <c r="M172" s="2" t="s">
        <v>19</v>
      </c>
      <c r="N172" s="2"/>
      <c r="O172" s="2" t="s">
        <v>1126</v>
      </c>
      <c r="P172" s="2"/>
      <c r="Q172" s="2" t="s">
        <v>11</v>
      </c>
      <c r="R172" s="2"/>
      <c r="S172" s="2"/>
      <c r="T172" s="2"/>
      <c r="U172" s="2" t="s">
        <v>2038</v>
      </c>
    </row>
    <row r="173" spans="1:21" ht="30" hidden="1" x14ac:dyDescent="0.25">
      <c r="A173" s="3" t="str">
        <f>INDEX('Correg (V1)'!$B:$B,MATCH($C173,'Correg (V1)'!$B:$B,0),1)</f>
        <v>M9785960--I7600760</v>
      </c>
      <c r="B173" s="3" t="str">
        <f>INDEX('Nueva (V11)'!$B:$B,MATCH($C173,'Nueva (V11)'!$B:$B,0),1)</f>
        <v>M9785960--I7600760</v>
      </c>
      <c r="C173" s="3" t="str">
        <f>_xlfn.TEXTJOIN("-",FALSE,$D173,$J173,$K173)</f>
        <v>M9785960--I7600760</v>
      </c>
      <c r="D173" s="2" t="s">
        <v>819</v>
      </c>
      <c r="E173" s="2" t="s">
        <v>820</v>
      </c>
      <c r="F173" s="2" t="s">
        <v>74</v>
      </c>
      <c r="G173" s="2" t="s">
        <v>8</v>
      </c>
      <c r="H173" s="2" t="s">
        <v>2228</v>
      </c>
      <c r="I173" s="2" t="s">
        <v>821</v>
      </c>
      <c r="J173" s="2"/>
      <c r="K173" s="2" t="s">
        <v>822</v>
      </c>
      <c r="L173" s="2" t="s">
        <v>2229</v>
      </c>
      <c r="M173" s="2"/>
      <c r="N173" s="2" t="s">
        <v>823</v>
      </c>
      <c r="O173" s="2"/>
      <c r="P173" s="2" t="s">
        <v>824</v>
      </c>
      <c r="Q173" s="2"/>
      <c r="R173" s="2" t="s">
        <v>825</v>
      </c>
      <c r="S173" s="2"/>
      <c r="T173" s="2"/>
      <c r="U173" s="2" t="s">
        <v>2083</v>
      </c>
    </row>
    <row r="174" spans="1:21" hidden="1" x14ac:dyDescent="0.25">
      <c r="A174" s="3" t="str">
        <f>INDEX('Correg (V1)'!$B:$B,MATCH($C174,'Correg (V1)'!$B:$B,0),1)</f>
        <v>M9973867--J5549918</v>
      </c>
      <c r="B174" s="3" t="str">
        <f>INDEX('Nueva (V11)'!$B:$B,MATCH($C174,'Nueva (V11)'!$B:$B,0),1)</f>
        <v>M9973867--J5549918</v>
      </c>
      <c r="C174" s="3" t="str">
        <f>_xlfn.TEXTJOIN("-",FALSE,$D174,$J174,$K174)</f>
        <v>M9973867--J5549918</v>
      </c>
      <c r="D174" s="2" t="s">
        <v>799</v>
      </c>
      <c r="E174" s="2" t="s">
        <v>800</v>
      </c>
      <c r="F174" s="2" t="s">
        <v>801</v>
      </c>
      <c r="G174" s="2" t="s">
        <v>700</v>
      </c>
      <c r="H174" s="2" t="s">
        <v>2221</v>
      </c>
      <c r="I174" s="2" t="s">
        <v>802</v>
      </c>
      <c r="J174" s="2"/>
      <c r="K174" s="2" t="s">
        <v>446</v>
      </c>
      <c r="L174" s="2" t="s">
        <v>2082</v>
      </c>
      <c r="M174" s="2"/>
      <c r="N174" s="2" t="s">
        <v>438</v>
      </c>
      <c r="O174" s="2"/>
      <c r="P174" s="2" t="s">
        <v>447</v>
      </c>
      <c r="Q174" s="2"/>
      <c r="R174" s="2" t="s">
        <v>448</v>
      </c>
      <c r="S174" s="2"/>
      <c r="T174" s="2"/>
      <c r="U174" s="2" t="s">
        <v>2083</v>
      </c>
    </row>
    <row r="175" spans="1:21" hidden="1" x14ac:dyDescent="0.25">
      <c r="A175" s="3" t="str">
        <f>INDEX('Correg (V1)'!$B:$B,MATCH($C175,'Correg (V1)'!$B:$B,0),1)</f>
        <v>O6624891-O6624891-</v>
      </c>
      <c r="B175" s="3" t="e">
        <f>INDEX('Nueva (V11)'!$B:$B,MATCH($C175,'Nueva (V11)'!$B:$B,0),1)</f>
        <v>#N/A</v>
      </c>
      <c r="C175" s="3" t="str">
        <f>_xlfn.TEXTJOIN("-",FALSE,$D175,$J175,$K175)</f>
        <v>O6624891-O6624891-</v>
      </c>
      <c r="D175" s="2" t="s">
        <v>1070</v>
      </c>
      <c r="E175" s="2" t="s">
        <v>1071</v>
      </c>
      <c r="F175" s="2" t="s">
        <v>1072</v>
      </c>
      <c r="G175" s="2" t="s">
        <v>1073</v>
      </c>
      <c r="H175" s="2" t="s">
        <v>2334</v>
      </c>
      <c r="I175" s="2" t="s">
        <v>1074</v>
      </c>
      <c r="J175" s="2" t="s">
        <v>1070</v>
      </c>
      <c r="K175" s="2"/>
      <c r="L175" s="2" t="s">
        <v>2335</v>
      </c>
      <c r="M175" s="2" t="s">
        <v>1071</v>
      </c>
      <c r="N175" s="2"/>
      <c r="O175" s="2" t="s">
        <v>1072</v>
      </c>
      <c r="P175" s="2"/>
      <c r="Q175" s="2" t="s">
        <v>1073</v>
      </c>
      <c r="R175" s="2"/>
      <c r="S175" s="2"/>
      <c r="T175" s="2"/>
      <c r="U175" s="2" t="s">
        <v>2071</v>
      </c>
    </row>
    <row r="176" spans="1:21" ht="30" hidden="1" x14ac:dyDescent="0.25">
      <c r="A176" s="3" t="str">
        <f>INDEX('Correg (V1)'!$B:$B,MATCH($C176,'Correg (V1)'!$B:$B,0),1)</f>
        <v>O7468594--J5549918</v>
      </c>
      <c r="B176" s="3" t="str">
        <f>INDEX('Nueva (V11)'!$B:$B,MATCH($C176,'Nueva (V11)'!$B:$B,0),1)</f>
        <v>O7468594--J5549918</v>
      </c>
      <c r="C176" s="3" t="str">
        <f>_xlfn.TEXTJOIN("-",FALSE,$D176,$J176,$K176)</f>
        <v>O7468594--J5549918</v>
      </c>
      <c r="D176" s="2" t="s">
        <v>506</v>
      </c>
      <c r="E176" s="2" t="s">
        <v>507</v>
      </c>
      <c r="F176" s="2" t="s">
        <v>508</v>
      </c>
      <c r="G176" s="2" t="s">
        <v>21</v>
      </c>
      <c r="H176" s="2" t="s">
        <v>2109</v>
      </c>
      <c r="I176" s="2" t="s">
        <v>445</v>
      </c>
      <c r="J176" s="2"/>
      <c r="K176" s="2" t="s">
        <v>446</v>
      </c>
      <c r="L176" s="2" t="s">
        <v>2082</v>
      </c>
      <c r="M176" s="2"/>
      <c r="N176" s="2" t="s">
        <v>438</v>
      </c>
      <c r="O176" s="2"/>
      <c r="P176" s="2" t="s">
        <v>447</v>
      </c>
      <c r="Q176" s="2"/>
      <c r="R176" s="2" t="s">
        <v>448</v>
      </c>
      <c r="S176" s="2"/>
      <c r="T176" s="2"/>
      <c r="U176" s="2" t="s">
        <v>2083</v>
      </c>
    </row>
    <row r="177" spans="1:21" ht="30" hidden="1" x14ac:dyDescent="0.25">
      <c r="A177" s="3" t="str">
        <f>INDEX('Correg (V1)'!$B:$B,MATCH($C177,'Correg (V1)'!$B:$B,0),1)</f>
        <v>O9997435-O9997435-</v>
      </c>
      <c r="B177" s="3" t="str">
        <f>INDEX('Nueva (V11)'!$B:$B,MATCH($C177,'Nueva (V11)'!$B:$B,0),1)</f>
        <v>O9997435-O9997435-</v>
      </c>
      <c r="C177" s="3" t="str">
        <f>_xlfn.TEXTJOIN("-",FALSE,$D177,$J177,$K177)</f>
        <v>O9997435-O9997435-</v>
      </c>
      <c r="D177" s="2" t="s">
        <v>589</v>
      </c>
      <c r="E177" s="2" t="s">
        <v>590</v>
      </c>
      <c r="F177" s="2" t="s">
        <v>591</v>
      </c>
      <c r="G177" s="2" t="s">
        <v>592</v>
      </c>
      <c r="H177" s="2" t="s">
        <v>2144</v>
      </c>
      <c r="I177" s="2" t="s">
        <v>593</v>
      </c>
      <c r="J177" s="2" t="s">
        <v>589</v>
      </c>
      <c r="K177" s="2"/>
      <c r="L177" s="2" t="s">
        <v>2145</v>
      </c>
      <c r="M177" s="2" t="s">
        <v>590</v>
      </c>
      <c r="N177" s="2"/>
      <c r="O177" s="2" t="s">
        <v>591</v>
      </c>
      <c r="P177" s="2"/>
      <c r="Q177" s="2" t="s">
        <v>592</v>
      </c>
      <c r="R177" s="2"/>
      <c r="S177" s="2"/>
      <c r="T177" s="2"/>
      <c r="U177" s="2" t="s">
        <v>2038</v>
      </c>
    </row>
    <row r="178" spans="1:21" hidden="1" x14ac:dyDescent="0.25">
      <c r="A178" s="3" t="str">
        <f>INDEX('Correg (V1)'!$B:$B,MATCH($C178,'Correg (V1)'!$B:$B,0),1)</f>
        <v>P4089833-P4089833-</v>
      </c>
      <c r="B178" s="3" t="str">
        <f>INDEX('Nueva (V11)'!$B:$B,MATCH($C178,'Nueva (V11)'!$B:$B,0),1)</f>
        <v>P4089833-P4089833-</v>
      </c>
      <c r="C178" s="3" t="str">
        <f>_xlfn.TEXTJOIN("-",FALSE,$D178,$J178,$K178)</f>
        <v>P4089833-P4089833-</v>
      </c>
      <c r="D178" s="2" t="s">
        <v>518</v>
      </c>
      <c r="E178" s="2" t="s">
        <v>519</v>
      </c>
      <c r="F178" s="2" t="s">
        <v>520</v>
      </c>
      <c r="G178" s="2" t="s">
        <v>521</v>
      </c>
      <c r="H178" s="2" t="s">
        <v>2113</v>
      </c>
      <c r="I178" s="2" t="s">
        <v>522</v>
      </c>
      <c r="J178" s="2" t="s">
        <v>518</v>
      </c>
      <c r="K178" s="2"/>
      <c r="L178" s="2" t="s">
        <v>2114</v>
      </c>
      <c r="M178" s="2" t="s">
        <v>519</v>
      </c>
      <c r="N178" s="2"/>
      <c r="O178" s="2" t="s">
        <v>520</v>
      </c>
      <c r="P178" s="2"/>
      <c r="Q178" s="2" t="s">
        <v>521</v>
      </c>
      <c r="R178" s="2"/>
      <c r="S178" s="2"/>
      <c r="T178" s="2"/>
      <c r="U178" s="2" t="s">
        <v>2071</v>
      </c>
    </row>
    <row r="179" spans="1:21" hidden="1" x14ac:dyDescent="0.25">
      <c r="A179" s="3" t="str">
        <f>INDEX('Correg (V1)'!$B:$B,MATCH($C179,'Correg (V1)'!$B:$B,0),1)</f>
        <v>P4163844--M4465700</v>
      </c>
      <c r="B179" s="3" t="e">
        <f>INDEX('Nueva (V11)'!$B:$B,MATCH($C179,'Nueva (V11)'!$B:$B,0),1)</f>
        <v>#N/A</v>
      </c>
      <c r="C179" s="3" t="str">
        <f>_xlfn.TEXTJOIN("-",FALSE,$D179,$J179,$K179)</f>
        <v>P4163844--M4465700</v>
      </c>
      <c r="D179" s="2" t="s">
        <v>1113</v>
      </c>
      <c r="E179" s="2" t="s">
        <v>58</v>
      </c>
      <c r="F179" s="2" t="s">
        <v>1114</v>
      </c>
      <c r="G179" s="2" t="s">
        <v>1115</v>
      </c>
      <c r="H179" s="2" t="s">
        <v>2352</v>
      </c>
      <c r="I179" s="2" t="s">
        <v>2352</v>
      </c>
      <c r="J179" s="2"/>
      <c r="K179" s="2" t="s">
        <v>1109</v>
      </c>
      <c r="L179" s="2" t="s">
        <v>2351</v>
      </c>
      <c r="M179" s="2"/>
      <c r="N179" s="2" t="s">
        <v>820</v>
      </c>
      <c r="O179" s="2"/>
      <c r="P179" s="2" t="s">
        <v>1110</v>
      </c>
      <c r="Q179" s="2"/>
      <c r="R179" s="2" t="s">
        <v>1111</v>
      </c>
      <c r="S179" s="2"/>
      <c r="T179" s="2"/>
      <c r="U179" s="2" t="s">
        <v>2083</v>
      </c>
    </row>
    <row r="180" spans="1:21" ht="30" hidden="1" x14ac:dyDescent="0.25">
      <c r="A180" s="3" t="str">
        <f>INDEX('Correg (V1)'!$B:$B,MATCH($C180,'Correg (V1)'!$B:$B,0),1)</f>
        <v>P5933312-P5933312-</v>
      </c>
      <c r="B180" s="3" t="str">
        <f>INDEX('Nueva (V11)'!$B:$B,MATCH($C180,'Nueva (V11)'!$B:$B,0),1)</f>
        <v>P5933312-P5933312-</v>
      </c>
      <c r="C180" s="3" t="str">
        <f>_xlfn.TEXTJOIN("-",FALSE,$D180,$J180,$K180)</f>
        <v>P5933312-P5933312-</v>
      </c>
      <c r="D180" s="2" t="s">
        <v>786</v>
      </c>
      <c r="E180" s="2" t="s">
        <v>787</v>
      </c>
      <c r="F180" s="2" t="s">
        <v>788</v>
      </c>
      <c r="G180" s="2" t="s">
        <v>789</v>
      </c>
      <c r="H180" s="2" t="s">
        <v>2217</v>
      </c>
      <c r="I180" s="2" t="s">
        <v>790</v>
      </c>
      <c r="J180" s="2" t="s">
        <v>786</v>
      </c>
      <c r="K180" s="2"/>
      <c r="L180" s="2" t="s">
        <v>2218</v>
      </c>
      <c r="M180" s="2" t="s">
        <v>787</v>
      </c>
      <c r="N180" s="2"/>
      <c r="O180" s="2" t="s">
        <v>788</v>
      </c>
      <c r="P180" s="2"/>
      <c r="Q180" s="2" t="s">
        <v>789</v>
      </c>
      <c r="R180" s="2"/>
      <c r="S180" s="2"/>
      <c r="T180" s="2"/>
      <c r="U180" s="2" t="s">
        <v>2038</v>
      </c>
    </row>
    <row r="181" spans="1:21" hidden="1" x14ac:dyDescent="0.25">
      <c r="A181" s="3" t="str">
        <f>INDEX('Correg (V1)'!$B:$B,MATCH($C181,'Correg (V1)'!$B:$B,0),1)</f>
        <v>P6179430--Y2236249</v>
      </c>
      <c r="B181" s="3" t="str">
        <f>INDEX('Nueva (V11)'!$B:$B,MATCH($C181,'Nueva (V11)'!$B:$B,0),1)</f>
        <v>P6179430--Y2236249</v>
      </c>
      <c r="C181" s="3" t="str">
        <f>_xlfn.TEXTJOIN("-",FALSE,$D181,$J181,$K181)</f>
        <v>P6179430--Y2236249</v>
      </c>
      <c r="D181" s="2" t="s">
        <v>886</v>
      </c>
      <c r="E181" s="2" t="s">
        <v>887</v>
      </c>
      <c r="F181" s="2" t="s">
        <v>888</v>
      </c>
      <c r="G181" s="2" t="s">
        <v>889</v>
      </c>
      <c r="H181" s="2" t="s">
        <v>2248</v>
      </c>
      <c r="I181" s="2" t="s">
        <v>890</v>
      </c>
      <c r="J181" s="2"/>
      <c r="K181" s="2" t="s">
        <v>782</v>
      </c>
      <c r="L181" s="2" t="s">
        <v>2216</v>
      </c>
      <c r="M181" s="2"/>
      <c r="N181" s="2" t="s">
        <v>783</v>
      </c>
      <c r="O181" s="2"/>
      <c r="P181" s="2" t="s">
        <v>784</v>
      </c>
      <c r="Q181" s="2"/>
      <c r="R181" s="2" t="s">
        <v>8</v>
      </c>
      <c r="S181" s="2"/>
      <c r="T181" s="2"/>
      <c r="U181" s="2" t="s">
        <v>2083</v>
      </c>
    </row>
    <row r="182" spans="1:21" hidden="1" x14ac:dyDescent="0.25">
      <c r="A182" s="3" t="str">
        <f>INDEX('Correg (V1)'!$B:$B,MATCH($C182,'Correg (V1)'!$B:$B,0),1)</f>
        <v>P6308213-P6308213-</v>
      </c>
      <c r="B182" s="3" t="str">
        <f>INDEX('Nueva (V11)'!$B:$B,MATCH($C182,'Nueva (V11)'!$B:$B,0),1)</f>
        <v>P6308213-P6308213-</v>
      </c>
      <c r="C182" s="3" t="str">
        <f>_xlfn.TEXTJOIN("-",FALSE,$D182,$J182,$K182)</f>
        <v>P6308213-P6308213-</v>
      </c>
      <c r="D182" s="2" t="s">
        <v>559</v>
      </c>
      <c r="E182" s="2" t="s">
        <v>560</v>
      </c>
      <c r="F182" s="2" t="s">
        <v>561</v>
      </c>
      <c r="G182" s="2" t="s">
        <v>448</v>
      </c>
      <c r="H182" s="2" t="s">
        <v>2131</v>
      </c>
      <c r="I182" s="2" t="s">
        <v>562</v>
      </c>
      <c r="J182" s="2" t="s">
        <v>559</v>
      </c>
      <c r="K182" s="2"/>
      <c r="L182" s="2" t="s">
        <v>2132</v>
      </c>
      <c r="M182" s="2" t="s">
        <v>560</v>
      </c>
      <c r="N182" s="2"/>
      <c r="O182" s="2" t="s">
        <v>561</v>
      </c>
      <c r="P182" s="2"/>
      <c r="Q182" s="2" t="s">
        <v>448</v>
      </c>
      <c r="R182" s="2"/>
      <c r="S182" s="2"/>
      <c r="T182" s="2"/>
      <c r="U182" s="2" t="s">
        <v>47</v>
      </c>
    </row>
    <row r="183" spans="1:21" hidden="1" x14ac:dyDescent="0.25">
      <c r="A183" s="3" t="str">
        <f>INDEX('Correg (V1)'!$B:$B,MATCH($C183,'Correg (V1)'!$B:$B,0),1)</f>
        <v>P6842735--J1842217</v>
      </c>
      <c r="B183" s="3" t="str">
        <f>INDEX('Nueva (V11)'!$B:$B,MATCH($C183,'Nueva (V11)'!$B:$B,0),1)</f>
        <v>P6842735--J1842217</v>
      </c>
      <c r="C183" s="3" t="str">
        <f>_xlfn.TEXTJOIN("-",FALSE,$D183,$J183,$K183)</f>
        <v>P6842735--J1842217</v>
      </c>
      <c r="D183" s="2" t="s">
        <v>641</v>
      </c>
      <c r="E183" s="2" t="s">
        <v>58</v>
      </c>
      <c r="F183" s="2" t="s">
        <v>642</v>
      </c>
      <c r="G183" s="2" t="s">
        <v>643</v>
      </c>
      <c r="H183" s="2" t="s">
        <v>2164</v>
      </c>
      <c r="I183" s="2" t="s">
        <v>644</v>
      </c>
      <c r="J183" s="2"/>
      <c r="K183" s="2" t="s">
        <v>457</v>
      </c>
      <c r="L183" s="2" t="s">
        <v>2087</v>
      </c>
      <c r="M183" s="2"/>
      <c r="N183" s="2" t="s">
        <v>458</v>
      </c>
      <c r="O183" s="2"/>
      <c r="P183" s="2" t="s">
        <v>459</v>
      </c>
      <c r="Q183" s="2"/>
      <c r="R183" s="2" t="s">
        <v>460</v>
      </c>
      <c r="S183" s="2"/>
      <c r="T183" s="2"/>
      <c r="U183" s="2" t="s">
        <v>2083</v>
      </c>
    </row>
    <row r="184" spans="1:21" hidden="1" x14ac:dyDescent="0.25">
      <c r="A184" s="3" t="str">
        <f>INDEX('Correg (V1)'!$B:$B,MATCH($C184,'Correg (V1)'!$B:$B,0),1)</f>
        <v>P7416302-P7416302-</v>
      </c>
      <c r="B184" s="3" t="str">
        <f>INDEX('Nueva (V11)'!$B:$B,MATCH($C184,'Nueva (V11)'!$B:$B,0),1)</f>
        <v>P7416302-P7416302-</v>
      </c>
      <c r="C184" s="3" t="str">
        <f>_xlfn.TEXTJOIN("-",FALSE,$D184,$J184,$K184)</f>
        <v>P7416302-P7416302-</v>
      </c>
      <c r="D184" s="2" t="s">
        <v>57</v>
      </c>
      <c r="E184" s="2" t="s">
        <v>58</v>
      </c>
      <c r="F184" s="2" t="s">
        <v>59</v>
      </c>
      <c r="G184" s="2" t="s">
        <v>60</v>
      </c>
      <c r="H184" s="2" t="s">
        <v>2057</v>
      </c>
      <c r="I184" s="2" t="s">
        <v>61</v>
      </c>
      <c r="J184" s="2" t="s">
        <v>57</v>
      </c>
      <c r="K184" s="2"/>
      <c r="L184" s="2" t="s">
        <v>2058</v>
      </c>
      <c r="M184" s="2" t="s">
        <v>58</v>
      </c>
      <c r="N184" s="2"/>
      <c r="O184" s="2" t="s">
        <v>59</v>
      </c>
      <c r="P184" s="2"/>
      <c r="Q184" s="2" t="s">
        <v>60</v>
      </c>
      <c r="R184" s="2"/>
      <c r="S184" s="2"/>
      <c r="T184" s="2"/>
      <c r="U184" s="2" t="s">
        <v>47</v>
      </c>
    </row>
    <row r="185" spans="1:21" hidden="1" x14ac:dyDescent="0.25">
      <c r="A185" s="3" t="str">
        <f>INDEX('Correg (V1)'!$B:$B,MATCH($C185,'Correg (V1)'!$B:$B,0),1)</f>
        <v>P8661589-P8661589-</v>
      </c>
      <c r="B185" s="3" t="e">
        <f>INDEX('Nueva (V11)'!$B:$B,MATCH($C185,'Nueva (V11)'!$B:$B,0),1)</f>
        <v>#N/A</v>
      </c>
      <c r="C185" s="3" t="str">
        <f>_xlfn.TEXTJOIN("-",FALSE,$D185,$J185,$K185)</f>
        <v>P8661589-P8661589-</v>
      </c>
      <c r="D185" s="2" t="s">
        <v>1142</v>
      </c>
      <c r="E185" s="2" t="s">
        <v>1143</v>
      </c>
      <c r="F185" s="2" t="s">
        <v>1144</v>
      </c>
      <c r="G185" s="2" t="s">
        <v>1145</v>
      </c>
      <c r="H185" s="2" t="s">
        <v>2366</v>
      </c>
      <c r="I185" s="2" t="s">
        <v>1146</v>
      </c>
      <c r="J185" s="2" t="s">
        <v>1142</v>
      </c>
      <c r="K185" s="2"/>
      <c r="L185" s="2" t="s">
        <v>2367</v>
      </c>
      <c r="M185" s="2" t="s">
        <v>1143</v>
      </c>
      <c r="N185" s="2"/>
      <c r="O185" s="2" t="s">
        <v>1144</v>
      </c>
      <c r="P185" s="2"/>
      <c r="Q185" s="2" t="s">
        <v>1145</v>
      </c>
      <c r="R185" s="2"/>
      <c r="S185" s="2"/>
      <c r="T185" s="2"/>
      <c r="U185" s="2" t="s">
        <v>2080</v>
      </c>
    </row>
    <row r="186" spans="1:21" hidden="1" x14ac:dyDescent="0.25">
      <c r="A186" s="3" t="str">
        <f>INDEX('Correg (V1)'!$B:$B,MATCH($C186,'Correg (V1)'!$B:$B,0),1)</f>
        <v>R0171065-R0171065-</v>
      </c>
      <c r="B186" s="3" t="e">
        <f>INDEX('Nueva (V11)'!$B:$B,MATCH($C186,'Nueva (V11)'!$B:$B,0),1)</f>
        <v>#N/A</v>
      </c>
      <c r="C186" s="3" t="str">
        <f>_xlfn.TEXTJOIN("-",FALSE,$D186,$J186,$K186)</f>
        <v>R0171065-R0171065-</v>
      </c>
      <c r="D186" s="2" t="s">
        <v>958</v>
      </c>
      <c r="E186" s="2" t="s">
        <v>610</v>
      </c>
      <c r="F186" s="2" t="s">
        <v>959</v>
      </c>
      <c r="G186" s="2" t="s">
        <v>960</v>
      </c>
      <c r="H186" s="2" t="s">
        <v>2277</v>
      </c>
      <c r="I186" s="2" t="s">
        <v>961</v>
      </c>
      <c r="J186" s="2" t="s">
        <v>958</v>
      </c>
      <c r="K186" s="2"/>
      <c r="L186" s="2" t="s">
        <v>2278</v>
      </c>
      <c r="M186" s="2" t="s">
        <v>610</v>
      </c>
      <c r="N186" s="2"/>
      <c r="O186" s="2" t="s">
        <v>959</v>
      </c>
      <c r="P186" s="2"/>
      <c r="Q186" s="2" t="s">
        <v>960</v>
      </c>
      <c r="R186" s="2"/>
      <c r="S186" s="2"/>
      <c r="T186" s="2"/>
      <c r="U186" s="2" t="s">
        <v>2038</v>
      </c>
    </row>
    <row r="187" spans="1:21" ht="30" hidden="1" x14ac:dyDescent="0.25">
      <c r="A187" s="3" t="str">
        <f>INDEX('Correg (V1)'!$B:$B,MATCH($C187,'Correg (V1)'!$B:$B,0),1)</f>
        <v>R0952538--</v>
      </c>
      <c r="B187" s="3" t="e">
        <f>INDEX('Nueva (V11)'!$B:$B,MATCH($C187,'Nueva (V11)'!$B:$B,0),1)</f>
        <v>#N/A</v>
      </c>
      <c r="C187" s="3" t="str">
        <f>_xlfn.TEXTJOIN("-",FALSE,$D187,$J187,$K187)</f>
        <v>R0952538--</v>
      </c>
      <c r="D187" s="2" t="s">
        <v>1172</v>
      </c>
      <c r="E187" s="2" t="s">
        <v>1173</v>
      </c>
      <c r="F187" s="2" t="s">
        <v>1174</v>
      </c>
      <c r="G187" s="2" t="s">
        <v>1175</v>
      </c>
      <c r="H187" s="2" t="s">
        <v>1176</v>
      </c>
      <c r="I187" s="2" t="s">
        <v>1177</v>
      </c>
      <c r="J187" s="2"/>
      <c r="K187" s="2"/>
      <c r="L187" s="2" t="s">
        <v>1178</v>
      </c>
      <c r="M187" s="2"/>
      <c r="N187" s="2"/>
      <c r="O187" s="2"/>
      <c r="P187" s="2"/>
      <c r="Q187" s="2"/>
      <c r="R187" s="2"/>
      <c r="S187" s="2"/>
      <c r="T187" s="2"/>
      <c r="U187" s="2" t="s">
        <v>107</v>
      </c>
    </row>
    <row r="188" spans="1:21" ht="30" hidden="1" x14ac:dyDescent="0.25">
      <c r="A188" s="3" t="str">
        <f>INDEX('Correg (V1)'!$B:$B,MATCH($C188,'Correg (V1)'!$B:$B,0),1)</f>
        <v>R1158863-R1158863-</v>
      </c>
      <c r="B188" s="3" t="str">
        <f>INDEX('Nueva (V11)'!$B:$B,MATCH($C188,'Nueva (V11)'!$B:$B,0),1)</f>
        <v>R1158863-R1158863-</v>
      </c>
      <c r="C188" s="3" t="str">
        <f>_xlfn.TEXTJOIN("-",FALSE,$D188,$J188,$K188)</f>
        <v>R1158863-R1158863-</v>
      </c>
      <c r="D188" s="2" t="s">
        <v>716</v>
      </c>
      <c r="E188" s="2" t="s">
        <v>717</v>
      </c>
      <c r="F188" s="2" t="s">
        <v>718</v>
      </c>
      <c r="G188" s="2" t="s">
        <v>468</v>
      </c>
      <c r="H188" s="2" t="s">
        <v>2190</v>
      </c>
      <c r="I188" s="2" t="s">
        <v>719</v>
      </c>
      <c r="J188" s="2" t="s">
        <v>716</v>
      </c>
      <c r="K188" s="2"/>
      <c r="L188" s="2" t="s">
        <v>2191</v>
      </c>
      <c r="M188" s="2" t="s">
        <v>717</v>
      </c>
      <c r="N188" s="2"/>
      <c r="O188" s="2" t="s">
        <v>718</v>
      </c>
      <c r="P188" s="2"/>
      <c r="Q188" s="2" t="s">
        <v>468</v>
      </c>
      <c r="R188" s="2"/>
      <c r="S188" s="2"/>
      <c r="T188" s="2"/>
      <c r="U188" s="2" t="s">
        <v>2038</v>
      </c>
    </row>
    <row r="189" spans="1:21" hidden="1" x14ac:dyDescent="0.25">
      <c r="A189" s="3" t="str">
        <f>INDEX('Correg (V1)'!$B:$B,MATCH($C189,'Correg (V1)'!$B:$B,0),1)</f>
        <v>R1630694--J1842217</v>
      </c>
      <c r="B189" s="3" t="str">
        <f>INDEX('Nueva (V11)'!$B:$B,MATCH($C189,'Nueva (V11)'!$B:$B,0),1)</f>
        <v>R1630694--J1842217</v>
      </c>
      <c r="C189" s="3" t="str">
        <f>_xlfn.TEXTJOIN("-",FALSE,$D189,$J189,$K189)</f>
        <v>R1630694--J1842217</v>
      </c>
      <c r="D189" s="2" t="s">
        <v>609</v>
      </c>
      <c r="E189" s="2" t="s">
        <v>610</v>
      </c>
      <c r="F189" s="2" t="s">
        <v>611</v>
      </c>
      <c r="G189" s="2" t="s">
        <v>612</v>
      </c>
      <c r="H189" s="2" t="s">
        <v>2153</v>
      </c>
      <c r="I189" s="2" t="s">
        <v>613</v>
      </c>
      <c r="J189" s="2"/>
      <c r="K189" s="2" t="s">
        <v>457</v>
      </c>
      <c r="L189" s="2" t="s">
        <v>2087</v>
      </c>
      <c r="M189" s="2"/>
      <c r="N189" s="2" t="s">
        <v>458</v>
      </c>
      <c r="O189" s="2"/>
      <c r="P189" s="2" t="s">
        <v>459</v>
      </c>
      <c r="Q189" s="2"/>
      <c r="R189" s="2" t="s">
        <v>460</v>
      </c>
      <c r="S189" s="2"/>
      <c r="T189" s="2"/>
      <c r="U189" s="2" t="s">
        <v>2083</v>
      </c>
    </row>
    <row r="190" spans="1:21" ht="30" hidden="1" x14ac:dyDescent="0.25">
      <c r="A190" s="3" t="str">
        <f>INDEX('Correg (V1)'!$B:$B,MATCH($C190,'Correg (V1)'!$B:$B,0),1)</f>
        <v>R1778570--J5549918</v>
      </c>
      <c r="B190" s="3" t="str">
        <f>INDEX('Nueva (V11)'!$B:$B,MATCH($C190,'Nueva (V11)'!$B:$B,0),1)</f>
        <v>R1778570--J5549918</v>
      </c>
      <c r="C190" s="3" t="str">
        <f>_xlfn.TEXTJOIN("-",FALSE,$D190,$J190,$K190)</f>
        <v>R1778570--J5549918</v>
      </c>
      <c r="D190" s="2" t="s">
        <v>472</v>
      </c>
      <c r="E190" s="2" t="s">
        <v>95</v>
      </c>
      <c r="F190" s="2" t="s">
        <v>473</v>
      </c>
      <c r="G190" s="2" t="s">
        <v>29</v>
      </c>
      <c r="H190" s="2" t="s">
        <v>2092</v>
      </c>
      <c r="I190" s="2" t="s">
        <v>445</v>
      </c>
      <c r="J190" s="2"/>
      <c r="K190" s="2" t="s">
        <v>446</v>
      </c>
      <c r="L190" s="2" t="s">
        <v>2082</v>
      </c>
      <c r="M190" s="2"/>
      <c r="N190" s="2" t="s">
        <v>438</v>
      </c>
      <c r="O190" s="2"/>
      <c r="P190" s="2" t="s">
        <v>447</v>
      </c>
      <c r="Q190" s="2"/>
      <c r="R190" s="2" t="s">
        <v>448</v>
      </c>
      <c r="S190" s="2"/>
      <c r="T190" s="2"/>
      <c r="U190" s="2" t="s">
        <v>2083</v>
      </c>
    </row>
    <row r="191" spans="1:21" ht="30" hidden="1" x14ac:dyDescent="0.25">
      <c r="A191" s="3" t="str">
        <f>INDEX('Correg (V1)'!$B:$B,MATCH($C191,'Correg (V1)'!$B:$B,0),1)</f>
        <v>R3596443-R3596443-</v>
      </c>
      <c r="B191" s="3" t="e">
        <f>INDEX('Nueva (V11)'!$B:$B,MATCH($C191,'Nueva (V11)'!$B:$B,0),1)</f>
        <v>#N/A</v>
      </c>
      <c r="C191" s="3" t="str">
        <f>_xlfn.TEXTJOIN("-",FALSE,$D191,$J191,$K191)</f>
        <v>R3596443-R3596443-</v>
      </c>
      <c r="D191" s="2" t="s">
        <v>995</v>
      </c>
      <c r="E191" s="2" t="s">
        <v>10</v>
      </c>
      <c r="F191" s="2" t="s">
        <v>8</v>
      </c>
      <c r="G191" s="2" t="s">
        <v>996</v>
      </c>
      <c r="H191" s="2" t="s">
        <v>2294</v>
      </c>
      <c r="I191" s="2" t="s">
        <v>997</v>
      </c>
      <c r="J191" s="2" t="s">
        <v>995</v>
      </c>
      <c r="K191" s="2"/>
      <c r="L191" s="2" t="s">
        <v>2295</v>
      </c>
      <c r="M191" s="2" t="s">
        <v>10</v>
      </c>
      <c r="N191" s="2"/>
      <c r="O191" s="2" t="s">
        <v>8</v>
      </c>
      <c r="P191" s="2"/>
      <c r="Q191" s="2" t="s">
        <v>996</v>
      </c>
      <c r="R191" s="2"/>
      <c r="S191" s="2"/>
      <c r="T191" s="2"/>
      <c r="U191" s="2" t="s">
        <v>2038</v>
      </c>
    </row>
    <row r="192" spans="1:21" ht="45" hidden="1" x14ac:dyDescent="0.25">
      <c r="A192" s="3" t="str">
        <f>INDEX('Correg (V1)'!$B:$B,MATCH($C192,'Correg (V1)'!$B:$B,0),1)</f>
        <v>R4251279-A0967417-</v>
      </c>
      <c r="B192" s="3" t="str">
        <f>INDEX('Nueva (V11)'!$B:$B,MATCH($C192,'Nueva (V11)'!$B:$B,0),1)</f>
        <v>R4251279-A0967417-</v>
      </c>
      <c r="C192" s="3" t="str">
        <f>_xlfn.TEXTJOIN("-",FALSE,$D192,$J192,$K192)</f>
        <v>R4251279-A0967417-</v>
      </c>
      <c r="D192" s="2" t="s">
        <v>108</v>
      </c>
      <c r="E192" s="2" t="s">
        <v>109</v>
      </c>
      <c r="F192" s="2" t="s">
        <v>110</v>
      </c>
      <c r="G192" s="2" t="s">
        <v>111</v>
      </c>
      <c r="H192" s="2" t="s">
        <v>2076</v>
      </c>
      <c r="I192" s="2" t="s">
        <v>112</v>
      </c>
      <c r="J192" s="2" t="s">
        <v>404</v>
      </c>
      <c r="K192" s="2"/>
      <c r="L192" s="2" t="s">
        <v>2077</v>
      </c>
      <c r="M192" s="2" t="s">
        <v>363</v>
      </c>
      <c r="N192" s="2"/>
      <c r="O192" s="2" t="s">
        <v>405</v>
      </c>
      <c r="P192" s="2"/>
      <c r="Q192" s="2"/>
      <c r="R192" s="2"/>
      <c r="S192" s="2"/>
      <c r="T192" s="2"/>
      <c r="U192" s="2" t="s">
        <v>2041</v>
      </c>
    </row>
    <row r="193" spans="1:21" ht="45" hidden="1" x14ac:dyDescent="0.25">
      <c r="A193" s="3" t="str">
        <f>INDEX('Correg (V1)'!$B:$B,MATCH($C193,'Correg (V1)'!$B:$B,0),1)</f>
        <v>R4251279-A3574111-</v>
      </c>
      <c r="B193" s="3" t="str">
        <f>INDEX('Nueva (V11)'!$B:$B,MATCH($C193,'Nueva (V11)'!$B:$B,0),1)</f>
        <v>R4251279-A3574111-</v>
      </c>
      <c r="C193" s="3" t="str">
        <f>_xlfn.TEXTJOIN("-",FALSE,$D193,$J193,$K193)</f>
        <v>R4251279-A3574111-</v>
      </c>
      <c r="D193" s="2" t="s">
        <v>108</v>
      </c>
      <c r="E193" s="2" t="s">
        <v>109</v>
      </c>
      <c r="F193" s="2" t="s">
        <v>110</v>
      </c>
      <c r="G193" s="2" t="s">
        <v>111</v>
      </c>
      <c r="H193" s="2" t="s">
        <v>2076</v>
      </c>
      <c r="I193" s="2" t="s">
        <v>112</v>
      </c>
      <c r="J193" s="2" t="s">
        <v>359</v>
      </c>
      <c r="K193" s="2"/>
      <c r="L193" s="2" t="s">
        <v>2077</v>
      </c>
      <c r="M193" s="2" t="s">
        <v>360</v>
      </c>
      <c r="N193" s="2"/>
      <c r="O193" s="2" t="s">
        <v>361</v>
      </c>
      <c r="P193" s="2"/>
      <c r="Q193" s="2"/>
      <c r="R193" s="2"/>
      <c r="S193" s="2"/>
      <c r="T193" s="2"/>
      <c r="U193" s="2" t="s">
        <v>2041</v>
      </c>
    </row>
    <row r="194" spans="1:21" ht="45" hidden="1" x14ac:dyDescent="0.25">
      <c r="A194" s="3" t="str">
        <f>INDEX('Correg (V1)'!$B:$B,MATCH($C194,'Correg (V1)'!$B:$B,0),1)</f>
        <v>R4251279-A4180653-</v>
      </c>
      <c r="B194" s="3" t="str">
        <f>INDEX('Nueva (V11)'!$B:$B,MATCH($C194,'Nueva (V11)'!$B:$B,0),1)</f>
        <v>R4251279-A4180653-</v>
      </c>
      <c r="C194" s="3" t="str">
        <f>_xlfn.TEXTJOIN("-",FALSE,$D194,$J194,$K194)</f>
        <v>R4251279-A4180653-</v>
      </c>
      <c r="D194" s="2" t="s">
        <v>108</v>
      </c>
      <c r="E194" s="2" t="s">
        <v>109</v>
      </c>
      <c r="F194" s="2" t="s">
        <v>110</v>
      </c>
      <c r="G194" s="2" t="s">
        <v>111</v>
      </c>
      <c r="H194" s="2" t="s">
        <v>2076</v>
      </c>
      <c r="I194" s="2" t="s">
        <v>112</v>
      </c>
      <c r="J194" s="2" t="s">
        <v>143</v>
      </c>
      <c r="K194" s="2"/>
      <c r="L194" s="2" t="s">
        <v>2077</v>
      </c>
      <c r="M194" s="2" t="s">
        <v>144</v>
      </c>
      <c r="N194" s="2"/>
      <c r="O194" s="2" t="s">
        <v>145</v>
      </c>
      <c r="P194" s="2"/>
      <c r="Q194" s="2"/>
      <c r="R194" s="2"/>
      <c r="S194" s="2"/>
      <c r="T194" s="2"/>
      <c r="U194" s="2" t="s">
        <v>2041</v>
      </c>
    </row>
    <row r="195" spans="1:21" ht="45" hidden="1" x14ac:dyDescent="0.25">
      <c r="A195" s="3" t="str">
        <f>INDEX('Correg (V1)'!$B:$B,MATCH($C195,'Correg (V1)'!$B:$B,0),1)</f>
        <v>R4251279-A4469373-</v>
      </c>
      <c r="B195" s="3" t="str">
        <f>INDEX('Nueva (V11)'!$B:$B,MATCH($C195,'Nueva (V11)'!$B:$B,0),1)</f>
        <v>R4251279-A4469373-</v>
      </c>
      <c r="C195" s="3" t="str">
        <f>_xlfn.TEXTJOIN("-",FALSE,$D195,$J195,$K195)</f>
        <v>R4251279-A4469373-</v>
      </c>
      <c r="D195" s="2" t="s">
        <v>108</v>
      </c>
      <c r="E195" s="2" t="s">
        <v>109</v>
      </c>
      <c r="F195" s="2" t="s">
        <v>110</v>
      </c>
      <c r="G195" s="2" t="s">
        <v>111</v>
      </c>
      <c r="H195" s="2" t="s">
        <v>2076</v>
      </c>
      <c r="I195" s="2" t="s">
        <v>112</v>
      </c>
      <c r="J195" s="2" t="s">
        <v>266</v>
      </c>
      <c r="K195" s="2"/>
      <c r="L195" s="2" t="s">
        <v>2077</v>
      </c>
      <c r="M195" s="2" t="s">
        <v>255</v>
      </c>
      <c r="N195" s="2"/>
      <c r="O195" s="2" t="s">
        <v>267</v>
      </c>
      <c r="P195" s="2"/>
      <c r="Q195" s="2"/>
      <c r="R195" s="2"/>
      <c r="S195" s="2"/>
      <c r="T195" s="2"/>
      <c r="U195" s="2" t="s">
        <v>2041</v>
      </c>
    </row>
    <row r="196" spans="1:21" ht="45" hidden="1" x14ac:dyDescent="0.25">
      <c r="A196" s="3" t="str">
        <f>INDEX('Correg (V1)'!$B:$B,MATCH($C196,'Correg (V1)'!$B:$B,0),1)</f>
        <v>R4251279-A4847593-</v>
      </c>
      <c r="B196" s="3" t="str">
        <f>INDEX('Nueva (V11)'!$B:$B,MATCH($C196,'Nueva (V11)'!$B:$B,0),1)</f>
        <v>R4251279-A4847593-</v>
      </c>
      <c r="C196" s="3" t="str">
        <f>_xlfn.TEXTJOIN("-",FALSE,$D196,$J196,$K196)</f>
        <v>R4251279-A4847593-</v>
      </c>
      <c r="D196" s="2" t="s">
        <v>108</v>
      </c>
      <c r="E196" s="2" t="s">
        <v>109</v>
      </c>
      <c r="F196" s="2" t="s">
        <v>110</v>
      </c>
      <c r="G196" s="2" t="s">
        <v>111</v>
      </c>
      <c r="H196" s="2" t="s">
        <v>2076</v>
      </c>
      <c r="I196" s="2" t="s">
        <v>112</v>
      </c>
      <c r="J196" s="2" t="s">
        <v>158</v>
      </c>
      <c r="K196" s="2"/>
      <c r="L196" s="2" t="s">
        <v>2077</v>
      </c>
      <c r="M196" s="2" t="s">
        <v>159</v>
      </c>
      <c r="N196" s="2"/>
      <c r="O196" s="2" t="s">
        <v>160</v>
      </c>
      <c r="P196" s="2"/>
      <c r="Q196" s="2"/>
      <c r="R196" s="2"/>
      <c r="S196" s="2"/>
      <c r="T196" s="2"/>
      <c r="U196" s="2" t="s">
        <v>2041</v>
      </c>
    </row>
    <row r="197" spans="1:21" ht="45" hidden="1" x14ac:dyDescent="0.25">
      <c r="A197" s="3" t="str">
        <f>INDEX('Correg (V1)'!$B:$B,MATCH($C197,'Correg (V1)'!$B:$B,0),1)</f>
        <v>R4251279-A5417301-</v>
      </c>
      <c r="B197" s="3" t="str">
        <f>INDEX('Nueva (V11)'!$B:$B,MATCH($C197,'Nueva (V11)'!$B:$B,0),1)</f>
        <v>R4251279-A5417301-</v>
      </c>
      <c r="C197" s="3" t="str">
        <f>_xlfn.TEXTJOIN("-",FALSE,$D197,$J197,$K197)</f>
        <v>R4251279-A5417301-</v>
      </c>
      <c r="D197" s="2" t="s">
        <v>108</v>
      </c>
      <c r="E197" s="2" t="s">
        <v>109</v>
      </c>
      <c r="F197" s="2" t="s">
        <v>110</v>
      </c>
      <c r="G197" s="2" t="s">
        <v>111</v>
      </c>
      <c r="H197" s="2" t="s">
        <v>2076</v>
      </c>
      <c r="I197" s="2" t="s">
        <v>112</v>
      </c>
      <c r="J197" s="2" t="s">
        <v>129</v>
      </c>
      <c r="K197" s="2"/>
      <c r="L197" s="2" t="s">
        <v>2077</v>
      </c>
      <c r="M197" s="2" t="s">
        <v>130</v>
      </c>
      <c r="N197" s="2"/>
      <c r="O197" s="2" t="s">
        <v>131</v>
      </c>
      <c r="P197" s="2"/>
      <c r="Q197" s="2"/>
      <c r="R197" s="2"/>
      <c r="S197" s="2"/>
      <c r="T197" s="2"/>
      <c r="U197" s="2" t="s">
        <v>2041</v>
      </c>
    </row>
    <row r="198" spans="1:21" ht="45" hidden="1" x14ac:dyDescent="0.25">
      <c r="A198" s="3" t="str">
        <f>INDEX('Correg (V1)'!$B:$B,MATCH($C198,'Correg (V1)'!$B:$B,0),1)</f>
        <v>R4251279-A5945951-</v>
      </c>
      <c r="B198" s="3" t="str">
        <f>INDEX('Nueva (V11)'!$B:$B,MATCH($C198,'Nueva (V11)'!$B:$B,0),1)</f>
        <v>R4251279-A5945951-</v>
      </c>
      <c r="C198" s="3" t="str">
        <f>_xlfn.TEXTJOIN("-",FALSE,$D198,$J198,$K198)</f>
        <v>R4251279-A5945951-</v>
      </c>
      <c r="D198" s="2" t="s">
        <v>108</v>
      </c>
      <c r="E198" s="2" t="s">
        <v>109</v>
      </c>
      <c r="F198" s="2" t="s">
        <v>110</v>
      </c>
      <c r="G198" s="2" t="s">
        <v>111</v>
      </c>
      <c r="H198" s="2" t="s">
        <v>2076</v>
      </c>
      <c r="I198" s="2" t="s">
        <v>112</v>
      </c>
      <c r="J198" s="2" t="s">
        <v>155</v>
      </c>
      <c r="K198" s="2"/>
      <c r="L198" s="2" t="s">
        <v>2077</v>
      </c>
      <c r="M198" s="2" t="s">
        <v>156</v>
      </c>
      <c r="N198" s="2"/>
      <c r="O198" s="2" t="s">
        <v>157</v>
      </c>
      <c r="P198" s="2"/>
      <c r="Q198" s="2"/>
      <c r="R198" s="2"/>
      <c r="S198" s="2"/>
      <c r="T198" s="2"/>
      <c r="U198" s="2" t="s">
        <v>2041</v>
      </c>
    </row>
    <row r="199" spans="1:21" ht="45" hidden="1" x14ac:dyDescent="0.25">
      <c r="A199" s="3" t="str">
        <f>INDEX('Correg (V1)'!$B:$B,MATCH($C199,'Correg (V1)'!$B:$B,0),1)</f>
        <v>R4251279-A6181784-</v>
      </c>
      <c r="B199" s="3" t="str">
        <f>INDEX('Nueva (V11)'!$B:$B,MATCH($C199,'Nueva (V11)'!$B:$B,0),1)</f>
        <v>R4251279-A6181784-</v>
      </c>
      <c r="C199" s="3" t="str">
        <f>_xlfn.TEXTJOIN("-",FALSE,$D199,$J199,$K199)</f>
        <v>R4251279-A6181784-</v>
      </c>
      <c r="D199" s="2" t="s">
        <v>108</v>
      </c>
      <c r="E199" s="2" t="s">
        <v>109</v>
      </c>
      <c r="F199" s="2" t="s">
        <v>110</v>
      </c>
      <c r="G199" s="2" t="s">
        <v>111</v>
      </c>
      <c r="H199" s="2" t="s">
        <v>2076</v>
      </c>
      <c r="I199" s="2" t="s">
        <v>112</v>
      </c>
      <c r="J199" s="2" t="s">
        <v>254</v>
      </c>
      <c r="K199" s="2"/>
      <c r="L199" s="2" t="s">
        <v>2077</v>
      </c>
      <c r="M199" s="2" t="s">
        <v>255</v>
      </c>
      <c r="N199" s="2"/>
      <c r="O199" s="2" t="s">
        <v>256</v>
      </c>
      <c r="P199" s="2"/>
      <c r="Q199" s="2"/>
      <c r="R199" s="2"/>
      <c r="S199" s="2"/>
      <c r="T199" s="2"/>
      <c r="U199" s="2" t="s">
        <v>2041</v>
      </c>
    </row>
    <row r="200" spans="1:21" ht="45" hidden="1" x14ac:dyDescent="0.25">
      <c r="A200" s="3" t="str">
        <f>INDEX('Correg (V1)'!$B:$B,MATCH($C200,'Correg (V1)'!$B:$B,0),1)</f>
        <v>R4251279-A6925972-</v>
      </c>
      <c r="B200" s="3" t="str">
        <f>INDEX('Nueva (V11)'!$B:$B,MATCH($C200,'Nueva (V11)'!$B:$B,0),1)</f>
        <v>R4251279-A6925972-</v>
      </c>
      <c r="C200" s="3" t="str">
        <f>_xlfn.TEXTJOIN("-",FALSE,$D200,$J200,$K200)</f>
        <v>R4251279-A6925972-</v>
      </c>
      <c r="D200" s="2" t="s">
        <v>108</v>
      </c>
      <c r="E200" s="2" t="s">
        <v>109</v>
      </c>
      <c r="F200" s="2" t="s">
        <v>110</v>
      </c>
      <c r="G200" s="2" t="s">
        <v>111</v>
      </c>
      <c r="H200" s="2" t="s">
        <v>2076</v>
      </c>
      <c r="I200" s="2" t="s">
        <v>112</v>
      </c>
      <c r="J200" s="2" t="s">
        <v>216</v>
      </c>
      <c r="K200" s="2"/>
      <c r="L200" s="2" t="s">
        <v>2077</v>
      </c>
      <c r="M200" s="2" t="s">
        <v>68</v>
      </c>
      <c r="N200" s="2"/>
      <c r="O200" s="2" t="s">
        <v>217</v>
      </c>
      <c r="P200" s="2"/>
      <c r="Q200" s="2"/>
      <c r="R200" s="2"/>
      <c r="S200" s="2"/>
      <c r="T200" s="2"/>
      <c r="U200" s="2" t="s">
        <v>2041</v>
      </c>
    </row>
    <row r="201" spans="1:21" ht="45" hidden="1" x14ac:dyDescent="0.25">
      <c r="A201" s="3" t="str">
        <f>INDEX('Correg (V1)'!$B:$B,MATCH($C201,'Correg (V1)'!$B:$B,0),1)</f>
        <v>R4251279-A6992198-</v>
      </c>
      <c r="B201" s="3" t="str">
        <f>INDEX('Nueva (V11)'!$B:$B,MATCH($C201,'Nueva (V11)'!$B:$B,0),1)</f>
        <v>R4251279-A6992198-</v>
      </c>
      <c r="C201" s="3" t="str">
        <f>_xlfn.TEXTJOIN("-",FALSE,$D201,$J201,$K201)</f>
        <v>R4251279-A6992198-</v>
      </c>
      <c r="D201" s="2" t="s">
        <v>108</v>
      </c>
      <c r="E201" s="2" t="s">
        <v>109</v>
      </c>
      <c r="F201" s="2" t="s">
        <v>110</v>
      </c>
      <c r="G201" s="2" t="s">
        <v>111</v>
      </c>
      <c r="H201" s="2" t="s">
        <v>2076</v>
      </c>
      <c r="I201" s="2" t="s">
        <v>112</v>
      </c>
      <c r="J201" s="2" t="s">
        <v>198</v>
      </c>
      <c r="K201" s="2"/>
      <c r="L201" s="2" t="s">
        <v>2077</v>
      </c>
      <c r="M201" s="2" t="s">
        <v>199</v>
      </c>
      <c r="N201" s="2"/>
      <c r="O201" s="2" t="s">
        <v>200</v>
      </c>
      <c r="P201" s="2"/>
      <c r="Q201" s="2"/>
      <c r="R201" s="2"/>
      <c r="S201" s="2"/>
      <c r="T201" s="2"/>
      <c r="U201" s="2" t="s">
        <v>2041</v>
      </c>
    </row>
    <row r="202" spans="1:21" ht="45" hidden="1" x14ac:dyDescent="0.25">
      <c r="A202" s="3" t="str">
        <f>INDEX('Correg (V1)'!$B:$B,MATCH($C202,'Correg (V1)'!$B:$B,0),1)</f>
        <v>R4251279-A7580255-</v>
      </c>
      <c r="B202" s="3" t="str">
        <f>INDEX('Nueva (V11)'!$B:$B,MATCH($C202,'Nueva (V11)'!$B:$B,0),1)</f>
        <v>R4251279-A7580255-</v>
      </c>
      <c r="C202" s="3" t="str">
        <f>_xlfn.TEXTJOIN("-",FALSE,$D202,$J202,$K202)</f>
        <v>R4251279-A7580255-</v>
      </c>
      <c r="D202" s="2" t="s">
        <v>108</v>
      </c>
      <c r="E202" s="2" t="s">
        <v>109</v>
      </c>
      <c r="F202" s="2" t="s">
        <v>110</v>
      </c>
      <c r="G202" s="2" t="s">
        <v>111</v>
      </c>
      <c r="H202" s="2" t="s">
        <v>2076</v>
      </c>
      <c r="I202" s="2" t="s">
        <v>112</v>
      </c>
      <c r="J202" s="2" t="s">
        <v>251</v>
      </c>
      <c r="K202" s="2"/>
      <c r="L202" s="2" t="s">
        <v>2077</v>
      </c>
      <c r="M202" s="2" t="s">
        <v>252</v>
      </c>
      <c r="N202" s="2"/>
      <c r="O202" s="2" t="s">
        <v>253</v>
      </c>
      <c r="P202" s="2"/>
      <c r="Q202" s="2"/>
      <c r="R202" s="2"/>
      <c r="S202" s="2"/>
      <c r="T202" s="2"/>
      <c r="U202" s="2" t="s">
        <v>2041</v>
      </c>
    </row>
    <row r="203" spans="1:21" ht="45" hidden="1" x14ac:dyDescent="0.25">
      <c r="A203" s="3" t="str">
        <f>INDEX('Correg (V1)'!$B:$B,MATCH($C203,'Correg (V1)'!$B:$B,0),1)</f>
        <v>R4251279-A8779087-</v>
      </c>
      <c r="B203" s="3" t="str">
        <f>INDEX('Nueva (V11)'!$B:$B,MATCH($C203,'Nueva (V11)'!$B:$B,0),1)</f>
        <v>R4251279-A8779087-</v>
      </c>
      <c r="C203" s="3" t="str">
        <f>_xlfn.TEXTJOIN("-",FALSE,$D203,$J203,$K203)</f>
        <v>R4251279-A8779087-</v>
      </c>
      <c r="D203" s="2" t="s">
        <v>108</v>
      </c>
      <c r="E203" s="2" t="s">
        <v>109</v>
      </c>
      <c r="F203" s="2" t="s">
        <v>110</v>
      </c>
      <c r="G203" s="2" t="s">
        <v>111</v>
      </c>
      <c r="H203" s="2" t="s">
        <v>2076</v>
      </c>
      <c r="I203" s="2" t="s">
        <v>112</v>
      </c>
      <c r="J203" s="2" t="s">
        <v>362</v>
      </c>
      <c r="K203" s="2"/>
      <c r="L203" s="2" t="s">
        <v>2077</v>
      </c>
      <c r="M203" s="2" t="s">
        <v>363</v>
      </c>
      <c r="N203" s="2"/>
      <c r="O203" s="2" t="s">
        <v>364</v>
      </c>
      <c r="P203" s="2"/>
      <c r="Q203" s="2"/>
      <c r="R203" s="2"/>
      <c r="S203" s="2"/>
      <c r="T203" s="2"/>
      <c r="U203" s="2" t="s">
        <v>2041</v>
      </c>
    </row>
    <row r="204" spans="1:21" ht="45" hidden="1" x14ac:dyDescent="0.25">
      <c r="A204" s="3" t="str">
        <f>INDEX('Correg (V1)'!$B:$B,MATCH($C204,'Correg (V1)'!$B:$B,0),1)</f>
        <v>R4251279-A8780908-</v>
      </c>
      <c r="B204" s="3" t="str">
        <f>INDEX('Nueva (V11)'!$B:$B,MATCH($C204,'Nueva (V11)'!$B:$B,0),1)</f>
        <v>R4251279-A8780908-</v>
      </c>
      <c r="C204" s="3" t="str">
        <f>_xlfn.TEXTJOIN("-",FALSE,$D204,$J204,$K204)</f>
        <v>R4251279-A8780908-</v>
      </c>
      <c r="D204" s="2" t="s">
        <v>108</v>
      </c>
      <c r="E204" s="2" t="s">
        <v>109</v>
      </c>
      <c r="F204" s="2" t="s">
        <v>110</v>
      </c>
      <c r="G204" s="2" t="s">
        <v>111</v>
      </c>
      <c r="H204" s="2" t="s">
        <v>2076</v>
      </c>
      <c r="I204" s="2" t="s">
        <v>112</v>
      </c>
      <c r="J204" s="2" t="s">
        <v>297</v>
      </c>
      <c r="K204" s="2"/>
      <c r="L204" s="2" t="s">
        <v>2077</v>
      </c>
      <c r="M204" s="2" t="s">
        <v>298</v>
      </c>
      <c r="N204" s="2"/>
      <c r="O204" s="2" t="s">
        <v>299</v>
      </c>
      <c r="P204" s="2"/>
      <c r="Q204" s="2"/>
      <c r="R204" s="2"/>
      <c r="S204" s="2"/>
      <c r="T204" s="2"/>
      <c r="U204" s="2" t="s">
        <v>2041</v>
      </c>
    </row>
    <row r="205" spans="1:21" ht="45" hidden="1" x14ac:dyDescent="0.25">
      <c r="A205" s="3" t="str">
        <f>INDEX('Correg (V1)'!$B:$B,MATCH($C205,'Correg (V1)'!$B:$B,0),1)</f>
        <v>R4251279-A9125195-</v>
      </c>
      <c r="B205" s="3" t="str">
        <f>INDEX('Nueva (V11)'!$B:$B,MATCH($C205,'Nueva (V11)'!$B:$B,0),1)</f>
        <v>R4251279-A9125195-</v>
      </c>
      <c r="C205" s="3" t="str">
        <f>_xlfn.TEXTJOIN("-",FALSE,$D205,$J205,$K205)</f>
        <v>R4251279-A9125195-</v>
      </c>
      <c r="D205" s="2" t="s">
        <v>108</v>
      </c>
      <c r="E205" s="2" t="s">
        <v>109</v>
      </c>
      <c r="F205" s="2" t="s">
        <v>110</v>
      </c>
      <c r="G205" s="2" t="s">
        <v>111</v>
      </c>
      <c r="H205" s="2" t="s">
        <v>2076</v>
      </c>
      <c r="I205" s="2" t="s">
        <v>112</v>
      </c>
      <c r="J205" s="2" t="s">
        <v>419</v>
      </c>
      <c r="K205" s="2"/>
      <c r="L205" s="2" t="s">
        <v>2077</v>
      </c>
      <c r="M205" s="2" t="s">
        <v>255</v>
      </c>
      <c r="N205" s="2"/>
      <c r="O205" s="2" t="s">
        <v>420</v>
      </c>
      <c r="P205" s="2"/>
      <c r="Q205" s="2"/>
      <c r="R205" s="2"/>
      <c r="S205" s="2"/>
      <c r="T205" s="2"/>
      <c r="U205" s="2" t="s">
        <v>2041</v>
      </c>
    </row>
    <row r="206" spans="1:21" ht="45" hidden="1" x14ac:dyDescent="0.25">
      <c r="A206" s="3" t="str">
        <f>INDEX('Correg (V1)'!$B:$B,MATCH($C206,'Correg (V1)'!$B:$B,0),1)</f>
        <v>R4251279-A9302822-</v>
      </c>
      <c r="B206" s="3" t="str">
        <f>INDEX('Nueva (V11)'!$B:$B,MATCH($C206,'Nueva (V11)'!$B:$B,0),1)</f>
        <v>R4251279-A9302822-</v>
      </c>
      <c r="C206" s="3" t="str">
        <f>_xlfn.TEXTJOIN("-",FALSE,$D206,$J206,$K206)</f>
        <v>R4251279-A9302822-</v>
      </c>
      <c r="D206" s="2" t="s">
        <v>108</v>
      </c>
      <c r="E206" s="2" t="s">
        <v>109</v>
      </c>
      <c r="F206" s="2" t="s">
        <v>110</v>
      </c>
      <c r="G206" s="2" t="s">
        <v>111</v>
      </c>
      <c r="H206" s="2" t="s">
        <v>2076</v>
      </c>
      <c r="I206" s="2" t="s">
        <v>112</v>
      </c>
      <c r="J206" s="2" t="s">
        <v>391</v>
      </c>
      <c r="K206" s="2"/>
      <c r="L206" s="2" t="s">
        <v>2077</v>
      </c>
      <c r="M206" s="2" t="s">
        <v>255</v>
      </c>
      <c r="N206" s="2"/>
      <c r="O206" s="2" t="s">
        <v>392</v>
      </c>
      <c r="P206" s="2"/>
      <c r="Q206" s="2"/>
      <c r="R206" s="2"/>
      <c r="S206" s="2"/>
      <c r="T206" s="2"/>
      <c r="U206" s="2" t="s">
        <v>2041</v>
      </c>
    </row>
    <row r="207" spans="1:21" ht="45" hidden="1" x14ac:dyDescent="0.25">
      <c r="A207" s="3" t="str">
        <f>INDEX('Correg (V1)'!$B:$B,MATCH($C207,'Correg (V1)'!$B:$B,0),1)</f>
        <v>R4251279-B3146354-</v>
      </c>
      <c r="B207" s="3" t="str">
        <f>INDEX('Nueva (V11)'!$B:$B,MATCH($C207,'Nueva (V11)'!$B:$B,0),1)</f>
        <v>R4251279-B3146354-</v>
      </c>
      <c r="C207" s="3" t="str">
        <f>_xlfn.TEXTJOIN("-",FALSE,$D207,$J207,$K207)</f>
        <v>R4251279-B3146354-</v>
      </c>
      <c r="D207" s="2" t="s">
        <v>108</v>
      </c>
      <c r="E207" s="2" t="s">
        <v>109</v>
      </c>
      <c r="F207" s="2" t="s">
        <v>110</v>
      </c>
      <c r="G207" s="2" t="s">
        <v>111</v>
      </c>
      <c r="H207" s="2" t="s">
        <v>2076</v>
      </c>
      <c r="I207" s="2" t="s">
        <v>112</v>
      </c>
      <c r="J207" s="2" t="s">
        <v>345</v>
      </c>
      <c r="K207" s="2"/>
      <c r="L207" s="2" t="s">
        <v>2077</v>
      </c>
      <c r="M207" s="2" t="s">
        <v>346</v>
      </c>
      <c r="N207" s="2"/>
      <c r="O207" s="2" t="s">
        <v>347</v>
      </c>
      <c r="P207" s="2"/>
      <c r="Q207" s="2"/>
      <c r="R207" s="2"/>
      <c r="S207" s="2"/>
      <c r="T207" s="2"/>
      <c r="U207" s="2" t="s">
        <v>2041</v>
      </c>
    </row>
    <row r="208" spans="1:21" ht="45" hidden="1" x14ac:dyDescent="0.25">
      <c r="A208" s="3" t="str">
        <f>INDEX('Correg (V1)'!$B:$B,MATCH($C208,'Correg (V1)'!$B:$B,0),1)</f>
        <v>R4251279-C3174786-</v>
      </c>
      <c r="B208" s="3" t="str">
        <f>INDEX('Nueva (V11)'!$B:$B,MATCH($C208,'Nueva (V11)'!$B:$B,0),1)</f>
        <v>R4251279-C3174786-</v>
      </c>
      <c r="C208" s="3" t="str">
        <f>_xlfn.TEXTJOIN("-",FALSE,$D208,$J208,$K208)</f>
        <v>R4251279-C3174786-</v>
      </c>
      <c r="D208" s="2" t="s">
        <v>108</v>
      </c>
      <c r="E208" s="2" t="s">
        <v>109</v>
      </c>
      <c r="F208" s="2" t="s">
        <v>110</v>
      </c>
      <c r="G208" s="2" t="s">
        <v>111</v>
      </c>
      <c r="H208" s="2" t="s">
        <v>2076</v>
      </c>
      <c r="I208" s="2" t="s">
        <v>112</v>
      </c>
      <c r="J208" s="2" t="s">
        <v>204</v>
      </c>
      <c r="K208" s="2"/>
      <c r="L208" s="2" t="s">
        <v>2077</v>
      </c>
      <c r="M208" s="2" t="s">
        <v>205</v>
      </c>
      <c r="N208" s="2"/>
      <c r="O208" s="2" t="s">
        <v>206</v>
      </c>
      <c r="P208" s="2"/>
      <c r="Q208" s="2"/>
      <c r="R208" s="2"/>
      <c r="S208" s="2"/>
      <c r="T208" s="2"/>
      <c r="U208" s="2" t="s">
        <v>2041</v>
      </c>
    </row>
    <row r="209" spans="1:21" ht="45" hidden="1" x14ac:dyDescent="0.25">
      <c r="A209" s="3" t="str">
        <f>INDEX('Correg (V1)'!$B:$B,MATCH($C209,'Correg (V1)'!$B:$B,0),1)</f>
        <v>R4251279-C6067195-</v>
      </c>
      <c r="B209" s="3" t="str">
        <f>INDEX('Nueva (V11)'!$B:$B,MATCH($C209,'Nueva (V11)'!$B:$B,0),1)</f>
        <v>R4251279-C6067195-</v>
      </c>
      <c r="C209" s="3" t="str">
        <f>_xlfn.TEXTJOIN("-",FALSE,$D209,$J209,$K209)</f>
        <v>R4251279-C6067195-</v>
      </c>
      <c r="D209" s="2" t="s">
        <v>108</v>
      </c>
      <c r="E209" s="2" t="s">
        <v>109</v>
      </c>
      <c r="F209" s="2" t="s">
        <v>110</v>
      </c>
      <c r="G209" s="2" t="s">
        <v>111</v>
      </c>
      <c r="H209" s="2" t="s">
        <v>2076</v>
      </c>
      <c r="I209" s="2" t="s">
        <v>112</v>
      </c>
      <c r="J209" s="2" t="s">
        <v>247</v>
      </c>
      <c r="K209" s="2"/>
      <c r="L209" s="2" t="s">
        <v>2077</v>
      </c>
      <c r="M209" s="2" t="s">
        <v>49</v>
      </c>
      <c r="N209" s="2"/>
      <c r="O209" s="2" t="s">
        <v>248</v>
      </c>
      <c r="P209" s="2"/>
      <c r="Q209" s="2"/>
      <c r="R209" s="2"/>
      <c r="S209" s="2"/>
      <c r="T209" s="2"/>
      <c r="U209" s="2" t="s">
        <v>2041</v>
      </c>
    </row>
    <row r="210" spans="1:21" ht="45" hidden="1" x14ac:dyDescent="0.25">
      <c r="A210" s="3" t="str">
        <f>INDEX('Correg (V1)'!$B:$B,MATCH($C210,'Correg (V1)'!$B:$B,0),1)</f>
        <v>R4251279-C7113631-</v>
      </c>
      <c r="B210" s="3" t="str">
        <f>INDEX('Nueva (V11)'!$B:$B,MATCH($C210,'Nueva (V11)'!$B:$B,0),1)</f>
        <v>R4251279-C7113631-</v>
      </c>
      <c r="C210" s="3" t="str">
        <f>_xlfn.TEXTJOIN("-",FALSE,$D210,$J210,$K210)</f>
        <v>R4251279-C7113631-</v>
      </c>
      <c r="D210" s="2" t="s">
        <v>108</v>
      </c>
      <c r="E210" s="2" t="s">
        <v>109</v>
      </c>
      <c r="F210" s="2" t="s">
        <v>110</v>
      </c>
      <c r="G210" s="2" t="s">
        <v>111</v>
      </c>
      <c r="H210" s="2" t="s">
        <v>2076</v>
      </c>
      <c r="I210" s="2" t="s">
        <v>112</v>
      </c>
      <c r="J210" s="2" t="s">
        <v>268</v>
      </c>
      <c r="K210" s="2"/>
      <c r="L210" s="2" t="s">
        <v>2077</v>
      </c>
      <c r="M210" s="2" t="s">
        <v>269</v>
      </c>
      <c r="N210" s="2"/>
      <c r="O210" s="2" t="s">
        <v>270</v>
      </c>
      <c r="P210" s="2"/>
      <c r="Q210" s="2"/>
      <c r="R210" s="2"/>
      <c r="S210" s="2"/>
      <c r="T210" s="2"/>
      <c r="U210" s="2" t="s">
        <v>2041</v>
      </c>
    </row>
    <row r="211" spans="1:21" ht="45" hidden="1" x14ac:dyDescent="0.25">
      <c r="A211" s="3" t="str">
        <f>INDEX('Correg (V1)'!$B:$B,MATCH($C211,'Correg (V1)'!$B:$B,0),1)</f>
        <v>R4251279-D5733655-</v>
      </c>
      <c r="B211" s="3" t="str">
        <f>INDEX('Nueva (V11)'!$B:$B,MATCH($C211,'Nueva (V11)'!$B:$B,0),1)</f>
        <v>R4251279-D5733655-</v>
      </c>
      <c r="C211" s="3" t="str">
        <f>_xlfn.TEXTJOIN("-",FALSE,$D211,$J211,$K211)</f>
        <v>R4251279-D5733655-</v>
      </c>
      <c r="D211" s="2" t="s">
        <v>108</v>
      </c>
      <c r="E211" s="2" t="s">
        <v>109</v>
      </c>
      <c r="F211" s="2" t="s">
        <v>110</v>
      </c>
      <c r="G211" s="2" t="s">
        <v>111</v>
      </c>
      <c r="H211" s="2" t="s">
        <v>2076</v>
      </c>
      <c r="I211" s="2" t="s">
        <v>112</v>
      </c>
      <c r="J211" s="2" t="s">
        <v>218</v>
      </c>
      <c r="K211" s="2"/>
      <c r="L211" s="2" t="s">
        <v>2077</v>
      </c>
      <c r="M211" s="2" t="s">
        <v>90</v>
      </c>
      <c r="N211" s="2"/>
      <c r="O211" s="2" t="s">
        <v>219</v>
      </c>
      <c r="P211" s="2"/>
      <c r="Q211" s="2"/>
      <c r="R211" s="2"/>
      <c r="S211" s="2"/>
      <c r="T211" s="2"/>
      <c r="U211" s="2" t="s">
        <v>2041</v>
      </c>
    </row>
    <row r="212" spans="1:21" ht="45" hidden="1" x14ac:dyDescent="0.25">
      <c r="A212" s="3" t="str">
        <f>INDEX('Correg (V1)'!$B:$B,MATCH($C212,'Correg (V1)'!$B:$B,0),1)</f>
        <v>R4251279-D8325341-</v>
      </c>
      <c r="B212" s="3" t="str">
        <f>INDEX('Nueva (V11)'!$B:$B,MATCH($C212,'Nueva (V11)'!$B:$B,0),1)</f>
        <v>R4251279-D8325341-</v>
      </c>
      <c r="C212" s="3" t="str">
        <f>_xlfn.TEXTJOIN("-",FALSE,$D212,$J212,$K212)</f>
        <v>R4251279-D8325341-</v>
      </c>
      <c r="D212" s="2" t="s">
        <v>108</v>
      </c>
      <c r="E212" s="2" t="s">
        <v>109</v>
      </c>
      <c r="F212" s="2" t="s">
        <v>110</v>
      </c>
      <c r="G212" s="2" t="s">
        <v>111</v>
      </c>
      <c r="H212" s="2" t="s">
        <v>2076</v>
      </c>
      <c r="I212" s="2" t="s">
        <v>112</v>
      </c>
      <c r="J212" s="2" t="s">
        <v>260</v>
      </c>
      <c r="K212" s="2"/>
      <c r="L212" s="2" t="s">
        <v>2077</v>
      </c>
      <c r="M212" s="2" t="s">
        <v>261</v>
      </c>
      <c r="N212" s="2"/>
      <c r="O212" s="2" t="s">
        <v>262</v>
      </c>
      <c r="P212" s="2"/>
      <c r="Q212" s="2"/>
      <c r="R212" s="2"/>
      <c r="S212" s="2"/>
      <c r="T212" s="2"/>
      <c r="U212" s="2" t="s">
        <v>2041</v>
      </c>
    </row>
    <row r="213" spans="1:21" ht="45" hidden="1" x14ac:dyDescent="0.25">
      <c r="A213" s="3" t="str">
        <f>INDEX('Correg (V1)'!$B:$B,MATCH($C213,'Correg (V1)'!$B:$B,0),1)</f>
        <v>R4251279-E2201246-</v>
      </c>
      <c r="B213" s="3" t="str">
        <f>INDEX('Nueva (V11)'!$B:$B,MATCH($C213,'Nueva (V11)'!$B:$B,0),1)</f>
        <v>R4251279-E2201246-</v>
      </c>
      <c r="C213" s="3" t="str">
        <f>_xlfn.TEXTJOIN("-",FALSE,$D213,$J213,$K213)</f>
        <v>R4251279-E2201246-</v>
      </c>
      <c r="D213" s="2" t="s">
        <v>108</v>
      </c>
      <c r="E213" s="2" t="s">
        <v>109</v>
      </c>
      <c r="F213" s="2" t="s">
        <v>110</v>
      </c>
      <c r="G213" s="2" t="s">
        <v>111</v>
      </c>
      <c r="H213" s="2" t="s">
        <v>2076</v>
      </c>
      <c r="I213" s="2" t="s">
        <v>112</v>
      </c>
      <c r="J213" s="2" t="s">
        <v>315</v>
      </c>
      <c r="K213" s="2"/>
      <c r="L213" s="2" t="s">
        <v>2077</v>
      </c>
      <c r="M213" s="2" t="s">
        <v>286</v>
      </c>
      <c r="N213" s="2"/>
      <c r="O213" s="2" t="s">
        <v>316</v>
      </c>
      <c r="P213" s="2"/>
      <c r="Q213" s="2"/>
      <c r="R213" s="2"/>
      <c r="S213" s="2"/>
      <c r="T213" s="2"/>
      <c r="U213" s="2" t="s">
        <v>2041</v>
      </c>
    </row>
    <row r="214" spans="1:21" ht="45" hidden="1" x14ac:dyDescent="0.25">
      <c r="A214" s="3" t="str">
        <f>INDEX('Correg (V1)'!$B:$B,MATCH($C214,'Correg (V1)'!$B:$B,0),1)</f>
        <v>R4251279-E3048904-</v>
      </c>
      <c r="B214" s="3" t="str">
        <f>INDEX('Nueva (V11)'!$B:$B,MATCH($C214,'Nueva (V11)'!$B:$B,0),1)</f>
        <v>R4251279-E3048904-</v>
      </c>
      <c r="C214" s="3" t="str">
        <f>_xlfn.TEXTJOIN("-",FALSE,$D214,$J214,$K214)</f>
        <v>R4251279-E3048904-</v>
      </c>
      <c r="D214" s="2" t="s">
        <v>108</v>
      </c>
      <c r="E214" s="2" t="s">
        <v>109</v>
      </c>
      <c r="F214" s="2" t="s">
        <v>110</v>
      </c>
      <c r="G214" s="2" t="s">
        <v>111</v>
      </c>
      <c r="H214" s="2" t="s">
        <v>2076</v>
      </c>
      <c r="I214" s="2" t="s">
        <v>112</v>
      </c>
      <c r="J214" s="2" t="s">
        <v>285</v>
      </c>
      <c r="K214" s="2"/>
      <c r="L214" s="2" t="s">
        <v>2077</v>
      </c>
      <c r="M214" s="2" t="s">
        <v>286</v>
      </c>
      <c r="N214" s="2"/>
      <c r="O214" s="2" t="s">
        <v>287</v>
      </c>
      <c r="P214" s="2"/>
      <c r="Q214" s="2"/>
      <c r="R214" s="2"/>
      <c r="S214" s="2"/>
      <c r="T214" s="2"/>
      <c r="U214" s="2" t="s">
        <v>2041</v>
      </c>
    </row>
    <row r="215" spans="1:21" ht="45" hidden="1" x14ac:dyDescent="0.25">
      <c r="A215" s="3" t="str">
        <f>INDEX('Correg (V1)'!$B:$B,MATCH($C215,'Correg (V1)'!$B:$B,0),1)</f>
        <v>R4251279-E7408625-</v>
      </c>
      <c r="B215" s="3" t="str">
        <f>INDEX('Nueva (V11)'!$B:$B,MATCH($C215,'Nueva (V11)'!$B:$B,0),1)</f>
        <v>R4251279-E7408625-</v>
      </c>
      <c r="C215" s="3" t="str">
        <f>_xlfn.TEXTJOIN("-",FALSE,$D215,$J215,$K215)</f>
        <v>R4251279-E7408625-</v>
      </c>
      <c r="D215" s="2" t="s">
        <v>108</v>
      </c>
      <c r="E215" s="2" t="s">
        <v>109</v>
      </c>
      <c r="F215" s="2" t="s">
        <v>110</v>
      </c>
      <c r="G215" s="2" t="s">
        <v>111</v>
      </c>
      <c r="H215" s="2" t="s">
        <v>2076</v>
      </c>
      <c r="I215" s="2" t="s">
        <v>112</v>
      </c>
      <c r="J215" s="2" t="s">
        <v>300</v>
      </c>
      <c r="K215" s="2"/>
      <c r="L215" s="2" t="s">
        <v>2077</v>
      </c>
      <c r="M215" s="2" t="s">
        <v>301</v>
      </c>
      <c r="N215" s="2"/>
      <c r="O215" s="2" t="s">
        <v>302</v>
      </c>
      <c r="P215" s="2"/>
      <c r="Q215" s="2"/>
      <c r="R215" s="2"/>
      <c r="S215" s="2"/>
      <c r="T215" s="2"/>
      <c r="U215" s="2" t="s">
        <v>2041</v>
      </c>
    </row>
    <row r="216" spans="1:21" ht="45" hidden="1" x14ac:dyDescent="0.25">
      <c r="A216" s="3" t="str">
        <f>INDEX('Correg (V1)'!$B:$B,MATCH($C216,'Correg (V1)'!$B:$B,0),1)</f>
        <v>R4251279-F0057503-</v>
      </c>
      <c r="B216" s="3" t="str">
        <f>INDEX('Nueva (V11)'!$B:$B,MATCH($C216,'Nueva (V11)'!$B:$B,0),1)</f>
        <v>R4251279-F0057503-</v>
      </c>
      <c r="C216" s="3" t="str">
        <f>_xlfn.TEXTJOIN("-",FALSE,$D216,$J216,$K216)</f>
        <v>R4251279-F0057503-</v>
      </c>
      <c r="D216" s="2" t="s">
        <v>108</v>
      </c>
      <c r="E216" s="2" t="s">
        <v>109</v>
      </c>
      <c r="F216" s="2" t="s">
        <v>110</v>
      </c>
      <c r="G216" s="2" t="s">
        <v>111</v>
      </c>
      <c r="H216" s="2" t="s">
        <v>2076</v>
      </c>
      <c r="I216" s="2" t="s">
        <v>112</v>
      </c>
      <c r="J216" s="2" t="s">
        <v>412</v>
      </c>
      <c r="K216" s="2"/>
      <c r="L216" s="2" t="s">
        <v>2077</v>
      </c>
      <c r="M216" s="2" t="s">
        <v>410</v>
      </c>
      <c r="N216" s="2"/>
      <c r="O216" s="2" t="s">
        <v>413</v>
      </c>
      <c r="P216" s="2"/>
      <c r="Q216" s="2"/>
      <c r="R216" s="2"/>
      <c r="S216" s="2"/>
      <c r="T216" s="2"/>
      <c r="U216" s="2" t="s">
        <v>2041</v>
      </c>
    </row>
    <row r="217" spans="1:21" ht="45" hidden="1" x14ac:dyDescent="0.25">
      <c r="A217" s="3" t="str">
        <f>INDEX('Correg (V1)'!$B:$B,MATCH($C217,'Correg (V1)'!$B:$B,0),1)</f>
        <v>R4251279-F0780257-</v>
      </c>
      <c r="B217" s="3" t="str">
        <f>INDEX('Nueva (V11)'!$B:$B,MATCH($C217,'Nueva (V11)'!$B:$B,0),1)</f>
        <v>R4251279-F0780257-</v>
      </c>
      <c r="C217" s="3" t="str">
        <f>_xlfn.TEXTJOIN("-",FALSE,$D217,$J217,$K217)</f>
        <v>R4251279-F0780257-</v>
      </c>
      <c r="D217" s="2" t="s">
        <v>108</v>
      </c>
      <c r="E217" s="2" t="s">
        <v>109</v>
      </c>
      <c r="F217" s="2" t="s">
        <v>110</v>
      </c>
      <c r="G217" s="2" t="s">
        <v>111</v>
      </c>
      <c r="H217" s="2" t="s">
        <v>2076</v>
      </c>
      <c r="I217" s="2" t="s">
        <v>112</v>
      </c>
      <c r="J217" s="2" t="s">
        <v>409</v>
      </c>
      <c r="K217" s="2"/>
      <c r="L217" s="2" t="s">
        <v>2077</v>
      </c>
      <c r="M217" s="2" t="s">
        <v>410</v>
      </c>
      <c r="N217" s="2"/>
      <c r="O217" s="2" t="s">
        <v>411</v>
      </c>
      <c r="P217" s="2"/>
      <c r="Q217" s="2"/>
      <c r="R217" s="2"/>
      <c r="S217" s="2"/>
      <c r="T217" s="2"/>
      <c r="U217" s="2" t="s">
        <v>2041</v>
      </c>
    </row>
    <row r="218" spans="1:21" ht="45" hidden="1" x14ac:dyDescent="0.25">
      <c r="A218" s="3" t="str">
        <f>INDEX('Correg (V1)'!$B:$B,MATCH($C218,'Correg (V1)'!$B:$B,0),1)</f>
        <v>R4251279-F2008630-</v>
      </c>
      <c r="B218" s="3" t="str">
        <f>INDEX('Nueva (V11)'!$B:$B,MATCH($C218,'Nueva (V11)'!$B:$B,0),1)</f>
        <v>R4251279-F2008630-</v>
      </c>
      <c r="C218" s="3" t="str">
        <f>_xlfn.TEXTJOIN("-",FALSE,$D218,$J218,$K218)</f>
        <v>R4251279-F2008630-</v>
      </c>
      <c r="D218" s="2" t="s">
        <v>108</v>
      </c>
      <c r="E218" s="2" t="s">
        <v>109</v>
      </c>
      <c r="F218" s="2" t="s">
        <v>110</v>
      </c>
      <c r="G218" s="2" t="s">
        <v>111</v>
      </c>
      <c r="H218" s="2" t="s">
        <v>2076</v>
      </c>
      <c r="I218" s="2" t="s">
        <v>112</v>
      </c>
      <c r="J218" s="2" t="s">
        <v>271</v>
      </c>
      <c r="K218" s="2"/>
      <c r="L218" s="2" t="s">
        <v>2077</v>
      </c>
      <c r="M218" s="2" t="s">
        <v>272</v>
      </c>
      <c r="N218" s="2"/>
      <c r="O218" s="2" t="s">
        <v>273</v>
      </c>
      <c r="P218" s="2"/>
      <c r="Q218" s="2"/>
      <c r="R218" s="2"/>
      <c r="S218" s="2"/>
      <c r="T218" s="2"/>
      <c r="U218" s="2" t="s">
        <v>2041</v>
      </c>
    </row>
    <row r="219" spans="1:21" ht="45" hidden="1" x14ac:dyDescent="0.25">
      <c r="A219" s="3" t="str">
        <f>INDEX('Correg (V1)'!$B:$B,MATCH($C219,'Correg (V1)'!$B:$B,0),1)</f>
        <v>R4251279-F2038142-</v>
      </c>
      <c r="B219" s="3" t="str">
        <f>INDEX('Nueva (V11)'!$B:$B,MATCH($C219,'Nueva (V11)'!$B:$B,0),1)</f>
        <v>R4251279-F2038142-</v>
      </c>
      <c r="C219" s="3" t="str">
        <f>_xlfn.TEXTJOIN("-",FALSE,$D219,$J219,$K219)</f>
        <v>R4251279-F2038142-</v>
      </c>
      <c r="D219" s="2" t="s">
        <v>108</v>
      </c>
      <c r="E219" s="2" t="s">
        <v>109</v>
      </c>
      <c r="F219" s="2" t="s">
        <v>110</v>
      </c>
      <c r="G219" s="2" t="s">
        <v>111</v>
      </c>
      <c r="H219" s="2" t="s">
        <v>2076</v>
      </c>
      <c r="I219" s="2" t="s">
        <v>112</v>
      </c>
      <c r="J219" s="2" t="s">
        <v>382</v>
      </c>
      <c r="K219" s="2"/>
      <c r="L219" s="2" t="s">
        <v>2077</v>
      </c>
      <c r="M219" s="2" t="s">
        <v>383</v>
      </c>
      <c r="N219" s="2"/>
      <c r="O219" s="2" t="s">
        <v>384</v>
      </c>
      <c r="P219" s="2"/>
      <c r="Q219" s="2"/>
      <c r="R219" s="2"/>
      <c r="S219" s="2"/>
      <c r="T219" s="2"/>
      <c r="U219" s="2" t="s">
        <v>2041</v>
      </c>
    </row>
    <row r="220" spans="1:21" ht="45" hidden="1" x14ac:dyDescent="0.25">
      <c r="A220" s="3" t="str">
        <f>INDEX('Correg (V1)'!$B:$B,MATCH($C220,'Correg (V1)'!$B:$B,0),1)</f>
        <v>R4251279-F4526977-</v>
      </c>
      <c r="B220" s="3" t="str">
        <f>INDEX('Nueva (V11)'!$B:$B,MATCH($C220,'Nueva (V11)'!$B:$B,0),1)</f>
        <v>R4251279-F4526977-</v>
      </c>
      <c r="C220" s="3" t="str">
        <f>_xlfn.TEXTJOIN("-",FALSE,$D220,$J220,$K220)</f>
        <v>R4251279-F4526977-</v>
      </c>
      <c r="D220" s="2" t="s">
        <v>108</v>
      </c>
      <c r="E220" s="2" t="s">
        <v>109</v>
      </c>
      <c r="F220" s="2" t="s">
        <v>110</v>
      </c>
      <c r="G220" s="2" t="s">
        <v>111</v>
      </c>
      <c r="H220" s="2" t="s">
        <v>2076</v>
      </c>
      <c r="I220" s="2" t="s">
        <v>112</v>
      </c>
      <c r="J220" s="2" t="s">
        <v>230</v>
      </c>
      <c r="K220" s="2"/>
      <c r="L220" s="2" t="s">
        <v>2077</v>
      </c>
      <c r="M220" s="2" t="s">
        <v>231</v>
      </c>
      <c r="N220" s="2"/>
      <c r="O220" s="2" t="s">
        <v>232</v>
      </c>
      <c r="P220" s="2"/>
      <c r="Q220" s="2"/>
      <c r="R220" s="2"/>
      <c r="S220" s="2"/>
      <c r="T220" s="2"/>
      <c r="U220" s="2" t="s">
        <v>2041</v>
      </c>
    </row>
    <row r="221" spans="1:21" ht="45" hidden="1" x14ac:dyDescent="0.25">
      <c r="A221" s="3" t="str">
        <f>INDEX('Correg (V1)'!$B:$B,MATCH($C221,'Correg (V1)'!$B:$B,0),1)</f>
        <v>R4251279-F6099543-</v>
      </c>
      <c r="B221" s="3" t="str">
        <f>INDEX('Nueva (V11)'!$B:$B,MATCH($C221,'Nueva (V11)'!$B:$B,0),1)</f>
        <v>R4251279-F6099543-</v>
      </c>
      <c r="C221" s="3" t="str">
        <f>_xlfn.TEXTJOIN("-",FALSE,$D221,$J221,$K221)</f>
        <v>R4251279-F6099543-</v>
      </c>
      <c r="D221" s="2" t="s">
        <v>108</v>
      </c>
      <c r="E221" s="2" t="s">
        <v>109</v>
      </c>
      <c r="F221" s="2" t="s">
        <v>110</v>
      </c>
      <c r="G221" s="2" t="s">
        <v>111</v>
      </c>
      <c r="H221" s="2" t="s">
        <v>2076</v>
      </c>
      <c r="I221" s="2" t="s">
        <v>112</v>
      </c>
      <c r="J221" s="2" t="s">
        <v>178</v>
      </c>
      <c r="K221" s="2"/>
      <c r="L221" s="2" t="s">
        <v>2077</v>
      </c>
      <c r="M221" s="2" t="s">
        <v>179</v>
      </c>
      <c r="N221" s="2"/>
      <c r="O221" s="2" t="s">
        <v>180</v>
      </c>
      <c r="P221" s="2"/>
      <c r="Q221" s="2"/>
      <c r="R221" s="2"/>
      <c r="S221" s="2"/>
      <c r="T221" s="2"/>
      <c r="U221" s="2" t="s">
        <v>2041</v>
      </c>
    </row>
    <row r="222" spans="1:21" ht="45" hidden="1" x14ac:dyDescent="0.25">
      <c r="A222" s="3" t="str">
        <f>INDEX('Correg (V1)'!$B:$B,MATCH($C222,'Correg (V1)'!$B:$B,0),1)</f>
        <v>R4251279-F6737856-</v>
      </c>
      <c r="B222" s="3" t="str">
        <f>INDEX('Nueva (V11)'!$B:$B,MATCH($C222,'Nueva (V11)'!$B:$B,0),1)</f>
        <v>R4251279-F6737856-</v>
      </c>
      <c r="C222" s="3" t="str">
        <f>_xlfn.TEXTJOIN("-",FALSE,$D222,$J222,$K222)</f>
        <v>R4251279-F6737856-</v>
      </c>
      <c r="D222" s="2" t="s">
        <v>108</v>
      </c>
      <c r="E222" s="2" t="s">
        <v>109</v>
      </c>
      <c r="F222" s="2" t="s">
        <v>110</v>
      </c>
      <c r="G222" s="2" t="s">
        <v>111</v>
      </c>
      <c r="H222" s="2" t="s">
        <v>2076</v>
      </c>
      <c r="I222" s="2" t="s">
        <v>112</v>
      </c>
      <c r="J222" s="2" t="s">
        <v>249</v>
      </c>
      <c r="K222" s="2"/>
      <c r="L222" s="2" t="s">
        <v>2077</v>
      </c>
      <c r="M222" s="2" t="s">
        <v>231</v>
      </c>
      <c r="N222" s="2"/>
      <c r="O222" s="2" t="s">
        <v>250</v>
      </c>
      <c r="P222" s="2"/>
      <c r="Q222" s="2"/>
      <c r="R222" s="2"/>
      <c r="S222" s="2"/>
      <c r="T222" s="2"/>
      <c r="U222" s="2" t="s">
        <v>2041</v>
      </c>
    </row>
    <row r="223" spans="1:21" ht="45" hidden="1" x14ac:dyDescent="0.25">
      <c r="A223" s="3" t="str">
        <f>INDEX('Correg (V1)'!$B:$B,MATCH($C223,'Correg (V1)'!$B:$B,0),1)</f>
        <v>R4251279-F8428756-</v>
      </c>
      <c r="B223" s="3" t="str">
        <f>INDEX('Nueva (V11)'!$B:$B,MATCH($C223,'Nueva (V11)'!$B:$B,0),1)</f>
        <v>R4251279-F8428756-</v>
      </c>
      <c r="C223" s="3" t="str">
        <f>_xlfn.TEXTJOIN("-",FALSE,$D223,$J223,$K223)</f>
        <v>R4251279-F8428756-</v>
      </c>
      <c r="D223" s="2" t="s">
        <v>108</v>
      </c>
      <c r="E223" s="2" t="s">
        <v>109</v>
      </c>
      <c r="F223" s="2" t="s">
        <v>110</v>
      </c>
      <c r="G223" s="2" t="s">
        <v>111</v>
      </c>
      <c r="H223" s="2" t="s">
        <v>2076</v>
      </c>
      <c r="I223" s="2" t="s">
        <v>112</v>
      </c>
      <c r="J223" s="2" t="s">
        <v>434</v>
      </c>
      <c r="K223" s="2"/>
      <c r="L223" s="2" t="s">
        <v>2077</v>
      </c>
      <c r="M223" s="2" t="s">
        <v>435</v>
      </c>
      <c r="N223" s="2"/>
      <c r="O223" s="2" t="s">
        <v>436</v>
      </c>
      <c r="P223" s="2"/>
      <c r="Q223" s="2"/>
      <c r="R223" s="2"/>
      <c r="S223" s="2"/>
      <c r="T223" s="2"/>
      <c r="U223" s="2" t="s">
        <v>2041</v>
      </c>
    </row>
    <row r="224" spans="1:21" ht="45" hidden="1" x14ac:dyDescent="0.25">
      <c r="A224" s="3" t="str">
        <f>INDEX('Correg (V1)'!$B:$B,MATCH($C224,'Correg (V1)'!$B:$B,0),1)</f>
        <v>R4251279-F8428756-</v>
      </c>
      <c r="B224" s="3" t="str">
        <f>INDEX('Nueva (V11)'!$B:$B,MATCH($C224,'Nueva (V11)'!$B:$B,0),1)</f>
        <v>R4251279-F8428756-</v>
      </c>
      <c r="C224" s="3" t="str">
        <f>_xlfn.TEXTJOIN("-",FALSE,$D224,$J224,$K224)</f>
        <v>R4251279-F8428756-</v>
      </c>
      <c r="D224" s="2" t="s">
        <v>108</v>
      </c>
      <c r="E224" s="2" t="s">
        <v>109</v>
      </c>
      <c r="F224" s="2" t="s">
        <v>110</v>
      </c>
      <c r="G224" s="2" t="s">
        <v>111</v>
      </c>
      <c r="H224" s="2" t="s">
        <v>2076</v>
      </c>
      <c r="I224" s="2" t="s">
        <v>112</v>
      </c>
      <c r="J224" s="2" t="s">
        <v>434</v>
      </c>
      <c r="K224" s="2"/>
      <c r="L224" s="2" t="s">
        <v>2077</v>
      </c>
      <c r="M224" s="2" t="s">
        <v>435</v>
      </c>
      <c r="N224" s="2"/>
      <c r="O224" s="2" t="s">
        <v>436</v>
      </c>
      <c r="P224" s="2"/>
      <c r="Q224" s="2"/>
      <c r="R224" s="2"/>
      <c r="S224" s="2"/>
      <c r="T224" s="2"/>
      <c r="U224" s="2" t="s">
        <v>2041</v>
      </c>
    </row>
    <row r="225" spans="1:21" ht="45" hidden="1" x14ac:dyDescent="0.25">
      <c r="A225" s="3" t="str">
        <f>INDEX('Correg (V1)'!$B:$B,MATCH($C225,'Correg (V1)'!$B:$B,0),1)</f>
        <v>R4251279-G0352941-</v>
      </c>
      <c r="B225" s="3" t="str">
        <f>INDEX('Nueva (V11)'!$B:$B,MATCH($C225,'Nueva (V11)'!$B:$B,0),1)</f>
        <v>R4251279-G0352941-</v>
      </c>
      <c r="C225" s="3" t="str">
        <f>_xlfn.TEXTJOIN("-",FALSE,$D225,$J225,$K225)</f>
        <v>R4251279-G0352941-</v>
      </c>
      <c r="D225" s="2" t="s">
        <v>108</v>
      </c>
      <c r="E225" s="2" t="s">
        <v>109</v>
      </c>
      <c r="F225" s="2" t="s">
        <v>110</v>
      </c>
      <c r="G225" s="2" t="s">
        <v>111</v>
      </c>
      <c r="H225" s="2" t="s">
        <v>2076</v>
      </c>
      <c r="I225" s="2" t="s">
        <v>112</v>
      </c>
      <c r="J225" s="2" t="s">
        <v>368</v>
      </c>
      <c r="K225" s="2"/>
      <c r="L225" s="2" t="s">
        <v>2077</v>
      </c>
      <c r="M225" s="2" t="s">
        <v>369</v>
      </c>
      <c r="N225" s="2"/>
      <c r="O225" s="2" t="s">
        <v>370</v>
      </c>
      <c r="P225" s="2"/>
      <c r="Q225" s="2"/>
      <c r="R225" s="2"/>
      <c r="S225" s="2"/>
      <c r="T225" s="2"/>
      <c r="U225" s="2" t="s">
        <v>2041</v>
      </c>
    </row>
    <row r="226" spans="1:21" ht="45" hidden="1" x14ac:dyDescent="0.25">
      <c r="A226" s="3" t="str">
        <f>INDEX('Correg (V1)'!$B:$B,MATCH($C226,'Correg (V1)'!$B:$B,0),1)</f>
        <v>R4251279-G0406494-</v>
      </c>
      <c r="B226" s="3" t="str">
        <f>INDEX('Nueva (V11)'!$B:$B,MATCH($C226,'Nueva (V11)'!$B:$B,0),1)</f>
        <v>R4251279-G0406494-</v>
      </c>
      <c r="C226" s="3" t="str">
        <f>_xlfn.TEXTJOIN("-",FALSE,$D226,$J226,$K226)</f>
        <v>R4251279-G0406494-</v>
      </c>
      <c r="D226" s="2" t="s">
        <v>108</v>
      </c>
      <c r="E226" s="2" t="s">
        <v>109</v>
      </c>
      <c r="F226" s="2" t="s">
        <v>110</v>
      </c>
      <c r="G226" s="2" t="s">
        <v>111</v>
      </c>
      <c r="H226" s="2" t="s">
        <v>2076</v>
      </c>
      <c r="I226" s="2" t="s">
        <v>112</v>
      </c>
      <c r="J226" s="2" t="s">
        <v>241</v>
      </c>
      <c r="K226" s="2"/>
      <c r="L226" s="2" t="s">
        <v>2077</v>
      </c>
      <c r="M226" s="2" t="s">
        <v>242</v>
      </c>
      <c r="N226" s="2"/>
      <c r="O226" s="2" t="s">
        <v>243</v>
      </c>
      <c r="P226" s="2"/>
      <c r="Q226" s="2"/>
      <c r="R226" s="2"/>
      <c r="S226" s="2"/>
      <c r="T226" s="2"/>
      <c r="U226" s="2" t="s">
        <v>2041</v>
      </c>
    </row>
    <row r="227" spans="1:21" ht="45" hidden="1" x14ac:dyDescent="0.25">
      <c r="A227" s="3" t="str">
        <f>INDEX('Correg (V1)'!$B:$B,MATCH($C227,'Correg (V1)'!$B:$B,0),1)</f>
        <v>R4251279-H2634732-</v>
      </c>
      <c r="B227" s="3" t="str">
        <f>INDEX('Nueva (V11)'!$B:$B,MATCH($C227,'Nueva (V11)'!$B:$B,0),1)</f>
        <v>R4251279-H2634732-</v>
      </c>
      <c r="C227" s="3" t="str">
        <f>_xlfn.TEXTJOIN("-",FALSE,$D227,$J227,$K227)</f>
        <v>R4251279-H2634732-</v>
      </c>
      <c r="D227" s="2" t="s">
        <v>108</v>
      </c>
      <c r="E227" s="2" t="s">
        <v>109</v>
      </c>
      <c r="F227" s="2" t="s">
        <v>110</v>
      </c>
      <c r="G227" s="2" t="s">
        <v>111</v>
      </c>
      <c r="H227" s="2" t="s">
        <v>2076</v>
      </c>
      <c r="I227" s="2" t="s">
        <v>112</v>
      </c>
      <c r="J227" s="2" t="s">
        <v>303</v>
      </c>
      <c r="K227" s="2"/>
      <c r="L227" s="2" t="s">
        <v>2077</v>
      </c>
      <c r="M227" s="2" t="s">
        <v>304</v>
      </c>
      <c r="N227" s="2"/>
      <c r="O227" s="2" t="s">
        <v>305</v>
      </c>
      <c r="P227" s="2"/>
      <c r="Q227" s="2"/>
      <c r="R227" s="2"/>
      <c r="S227" s="2"/>
      <c r="T227" s="2"/>
      <c r="U227" s="2" t="s">
        <v>2041</v>
      </c>
    </row>
    <row r="228" spans="1:21" ht="45" hidden="1" x14ac:dyDescent="0.25">
      <c r="A228" s="3" t="str">
        <f>INDEX('Correg (V1)'!$B:$B,MATCH($C228,'Correg (V1)'!$B:$B,0),1)</f>
        <v>R4251279-H2693153-</v>
      </c>
      <c r="B228" s="3" t="str">
        <f>INDEX('Nueva (V11)'!$B:$B,MATCH($C228,'Nueva (V11)'!$B:$B,0),1)</f>
        <v>R4251279-H2693153-</v>
      </c>
      <c r="C228" s="3" t="str">
        <f>_xlfn.TEXTJOIN("-",FALSE,$D228,$J228,$K228)</f>
        <v>R4251279-H2693153-</v>
      </c>
      <c r="D228" s="2" t="s">
        <v>108</v>
      </c>
      <c r="E228" s="2" t="s">
        <v>109</v>
      </c>
      <c r="F228" s="2" t="s">
        <v>110</v>
      </c>
      <c r="G228" s="2" t="s">
        <v>111</v>
      </c>
      <c r="H228" s="2" t="s">
        <v>2076</v>
      </c>
      <c r="I228" s="2" t="s">
        <v>112</v>
      </c>
      <c r="J228" s="2" t="s">
        <v>115</v>
      </c>
      <c r="K228" s="2"/>
      <c r="L228" s="2" t="s">
        <v>2077</v>
      </c>
      <c r="M228" s="2" t="s">
        <v>116</v>
      </c>
      <c r="N228" s="2"/>
      <c r="O228" s="2" t="s">
        <v>117</v>
      </c>
      <c r="P228" s="2"/>
      <c r="Q228" s="2"/>
      <c r="R228" s="2"/>
      <c r="S228" s="2"/>
      <c r="T228" s="2"/>
      <c r="U228" s="2" t="s">
        <v>2041</v>
      </c>
    </row>
    <row r="229" spans="1:21" ht="45" hidden="1" x14ac:dyDescent="0.25">
      <c r="A229" s="3" t="str">
        <f>INDEX('Correg (V1)'!$B:$B,MATCH($C229,'Correg (V1)'!$B:$B,0),1)</f>
        <v>R4251279-H3027808-</v>
      </c>
      <c r="B229" s="3" t="str">
        <f>INDEX('Nueva (V11)'!$B:$B,MATCH($C229,'Nueva (V11)'!$B:$B,0),1)</f>
        <v>R4251279-H3027808-</v>
      </c>
      <c r="C229" s="3" t="str">
        <f>_xlfn.TEXTJOIN("-",FALSE,$D229,$J229,$K229)</f>
        <v>R4251279-H3027808-</v>
      </c>
      <c r="D229" s="2" t="s">
        <v>108</v>
      </c>
      <c r="E229" s="2" t="s">
        <v>109</v>
      </c>
      <c r="F229" s="2" t="s">
        <v>110</v>
      </c>
      <c r="G229" s="2" t="s">
        <v>111</v>
      </c>
      <c r="H229" s="2" t="s">
        <v>2076</v>
      </c>
      <c r="I229" s="2" t="s">
        <v>112</v>
      </c>
      <c r="J229" s="2" t="s">
        <v>342</v>
      </c>
      <c r="K229" s="2"/>
      <c r="L229" s="2" t="s">
        <v>2077</v>
      </c>
      <c r="M229" s="2" t="s">
        <v>343</v>
      </c>
      <c r="N229" s="2"/>
      <c r="O229" s="2" t="s">
        <v>344</v>
      </c>
      <c r="P229" s="2"/>
      <c r="Q229" s="2"/>
      <c r="R229" s="2"/>
      <c r="S229" s="2"/>
      <c r="T229" s="2"/>
      <c r="U229" s="2" t="s">
        <v>2041</v>
      </c>
    </row>
    <row r="230" spans="1:21" ht="45" hidden="1" x14ac:dyDescent="0.25">
      <c r="A230" s="3" t="str">
        <f>INDEX('Correg (V1)'!$B:$B,MATCH($C230,'Correg (V1)'!$B:$B,0),1)</f>
        <v>R4251279-H5300207-</v>
      </c>
      <c r="B230" s="3" t="str">
        <f>INDEX('Nueva (V11)'!$B:$B,MATCH($C230,'Nueva (V11)'!$B:$B,0),1)</f>
        <v>R4251279-H5300207-</v>
      </c>
      <c r="C230" s="3" t="str">
        <f>_xlfn.TEXTJOIN("-",FALSE,$D230,$J230,$K230)</f>
        <v>R4251279-H5300207-</v>
      </c>
      <c r="D230" s="2" t="s">
        <v>108</v>
      </c>
      <c r="E230" s="2" t="s">
        <v>109</v>
      </c>
      <c r="F230" s="2" t="s">
        <v>110</v>
      </c>
      <c r="G230" s="2" t="s">
        <v>111</v>
      </c>
      <c r="H230" s="2" t="s">
        <v>2076</v>
      </c>
      <c r="I230" s="2" t="s">
        <v>112</v>
      </c>
      <c r="J230" s="2" t="s">
        <v>371</v>
      </c>
      <c r="K230" s="2"/>
      <c r="L230" s="2" t="s">
        <v>2077</v>
      </c>
      <c r="M230" s="2" t="s">
        <v>304</v>
      </c>
      <c r="N230" s="2"/>
      <c r="O230" s="2" t="s">
        <v>372</v>
      </c>
      <c r="P230" s="2"/>
      <c r="Q230" s="2"/>
      <c r="R230" s="2"/>
      <c r="S230" s="2"/>
      <c r="T230" s="2"/>
      <c r="U230" s="2" t="s">
        <v>2041</v>
      </c>
    </row>
    <row r="231" spans="1:21" ht="45" hidden="1" x14ac:dyDescent="0.25">
      <c r="A231" s="3" t="str">
        <f>INDEX('Correg (V1)'!$B:$B,MATCH($C231,'Correg (V1)'!$B:$B,0),1)</f>
        <v>R4251279-H5511105-</v>
      </c>
      <c r="B231" s="3" t="str">
        <f>INDEX('Nueva (V11)'!$B:$B,MATCH($C231,'Nueva (V11)'!$B:$B,0),1)</f>
        <v>R4251279-H5511105-</v>
      </c>
      <c r="C231" s="3" t="str">
        <f>_xlfn.TEXTJOIN("-",FALSE,$D231,$J231,$K231)</f>
        <v>R4251279-H5511105-</v>
      </c>
      <c r="D231" s="2" t="s">
        <v>108</v>
      </c>
      <c r="E231" s="2" t="s">
        <v>109</v>
      </c>
      <c r="F231" s="2" t="s">
        <v>110</v>
      </c>
      <c r="G231" s="2" t="s">
        <v>111</v>
      </c>
      <c r="H231" s="2" t="s">
        <v>2076</v>
      </c>
      <c r="I231" s="2" t="s">
        <v>112</v>
      </c>
      <c r="J231" s="2" t="s">
        <v>416</v>
      </c>
      <c r="K231" s="2"/>
      <c r="L231" s="2" t="s">
        <v>2077</v>
      </c>
      <c r="M231" s="2" t="s">
        <v>417</v>
      </c>
      <c r="N231" s="2"/>
      <c r="O231" s="2" t="s">
        <v>418</v>
      </c>
      <c r="P231" s="2"/>
      <c r="Q231" s="2"/>
      <c r="R231" s="2"/>
      <c r="S231" s="2"/>
      <c r="T231" s="2"/>
      <c r="U231" s="2" t="s">
        <v>2041</v>
      </c>
    </row>
    <row r="232" spans="1:21" ht="45" hidden="1" x14ac:dyDescent="0.25">
      <c r="A232" s="3" t="str">
        <f>INDEX('Correg (V1)'!$B:$B,MATCH($C232,'Correg (V1)'!$B:$B,0),1)</f>
        <v>R4251279-H6445236-</v>
      </c>
      <c r="B232" s="3" t="str">
        <f>INDEX('Nueva (V11)'!$B:$B,MATCH($C232,'Nueva (V11)'!$B:$B,0),1)</f>
        <v>R4251279-H6445236-</v>
      </c>
      <c r="C232" s="3" t="str">
        <f>_xlfn.TEXTJOIN("-",FALSE,$D232,$J232,$K232)</f>
        <v>R4251279-H6445236-</v>
      </c>
      <c r="D232" s="2" t="s">
        <v>108</v>
      </c>
      <c r="E232" s="2" t="s">
        <v>109</v>
      </c>
      <c r="F232" s="2" t="s">
        <v>110</v>
      </c>
      <c r="G232" s="2" t="s">
        <v>111</v>
      </c>
      <c r="H232" s="2" t="s">
        <v>2076</v>
      </c>
      <c r="I232" s="2" t="s">
        <v>112</v>
      </c>
      <c r="J232" s="2" t="s">
        <v>170</v>
      </c>
      <c r="K232" s="2"/>
      <c r="L232" s="2" t="s">
        <v>2077</v>
      </c>
      <c r="M232" s="2" t="s">
        <v>171</v>
      </c>
      <c r="N232" s="2"/>
      <c r="O232" s="2" t="s">
        <v>16</v>
      </c>
      <c r="P232" s="2"/>
      <c r="Q232" s="2"/>
      <c r="R232" s="2"/>
      <c r="S232" s="2"/>
      <c r="T232" s="2"/>
      <c r="U232" s="2" t="s">
        <v>2041</v>
      </c>
    </row>
    <row r="233" spans="1:21" ht="45" hidden="1" x14ac:dyDescent="0.25">
      <c r="A233" s="3" t="str">
        <f>INDEX('Correg (V1)'!$B:$B,MATCH($C233,'Correg (V1)'!$B:$B,0),1)</f>
        <v>R4251279-H7201344-</v>
      </c>
      <c r="B233" s="3" t="str">
        <f>INDEX('Nueva (V11)'!$B:$B,MATCH($C233,'Nueva (V11)'!$B:$B,0),1)</f>
        <v>R4251279-H7201344-</v>
      </c>
      <c r="C233" s="3" t="str">
        <f>_xlfn.TEXTJOIN("-",FALSE,$D233,$J233,$K233)</f>
        <v>R4251279-H7201344-</v>
      </c>
      <c r="D233" s="2" t="s">
        <v>108</v>
      </c>
      <c r="E233" s="2" t="s">
        <v>109</v>
      </c>
      <c r="F233" s="2" t="s">
        <v>110</v>
      </c>
      <c r="G233" s="2" t="s">
        <v>111</v>
      </c>
      <c r="H233" s="2" t="s">
        <v>2076</v>
      </c>
      <c r="I233" s="2" t="s">
        <v>112</v>
      </c>
      <c r="J233" s="2" t="s">
        <v>423</v>
      </c>
      <c r="K233" s="2"/>
      <c r="L233" s="2" t="s">
        <v>2077</v>
      </c>
      <c r="M233" s="2" t="s">
        <v>402</v>
      </c>
      <c r="N233" s="2"/>
      <c r="O233" s="2" t="s">
        <v>424</v>
      </c>
      <c r="P233" s="2"/>
      <c r="Q233" s="2"/>
      <c r="R233" s="2"/>
      <c r="S233" s="2"/>
      <c r="T233" s="2"/>
      <c r="U233" s="2" t="s">
        <v>2041</v>
      </c>
    </row>
    <row r="234" spans="1:21" ht="45" hidden="1" x14ac:dyDescent="0.25">
      <c r="A234" s="3" t="str">
        <f>INDEX('Correg (V1)'!$B:$B,MATCH($C234,'Correg (V1)'!$B:$B,0),1)</f>
        <v>R4251279-H8317012-</v>
      </c>
      <c r="B234" s="3" t="str">
        <f>INDEX('Nueva (V11)'!$B:$B,MATCH($C234,'Nueva (V11)'!$B:$B,0),1)</f>
        <v>R4251279-H8317012-</v>
      </c>
      <c r="C234" s="3" t="str">
        <f>_xlfn.TEXTJOIN("-",FALSE,$D234,$J234,$K234)</f>
        <v>R4251279-H8317012-</v>
      </c>
      <c r="D234" s="2" t="s">
        <v>108</v>
      </c>
      <c r="E234" s="2" t="s">
        <v>109</v>
      </c>
      <c r="F234" s="2" t="s">
        <v>110</v>
      </c>
      <c r="G234" s="2" t="s">
        <v>111</v>
      </c>
      <c r="H234" s="2" t="s">
        <v>2076</v>
      </c>
      <c r="I234" s="2" t="s">
        <v>112</v>
      </c>
      <c r="J234" s="2" t="s">
        <v>401</v>
      </c>
      <c r="K234" s="2"/>
      <c r="L234" s="2" t="s">
        <v>2077</v>
      </c>
      <c r="M234" s="2" t="s">
        <v>402</v>
      </c>
      <c r="N234" s="2"/>
      <c r="O234" s="2" t="s">
        <v>403</v>
      </c>
      <c r="P234" s="2"/>
      <c r="Q234" s="2"/>
      <c r="R234" s="2"/>
      <c r="S234" s="2"/>
      <c r="T234" s="2"/>
      <c r="U234" s="2" t="s">
        <v>2041</v>
      </c>
    </row>
    <row r="235" spans="1:21" ht="45" hidden="1" x14ac:dyDescent="0.25">
      <c r="A235" s="3" t="str">
        <f>INDEX('Correg (V1)'!$B:$B,MATCH($C235,'Correg (V1)'!$B:$B,0),1)</f>
        <v>R4251279-HHHH-</v>
      </c>
      <c r="B235" s="3" t="str">
        <f>INDEX('Nueva (V11)'!$B:$B,MATCH($C235,'Nueva (V11)'!$B:$B,0),1)</f>
        <v>R4251279-HHHH-</v>
      </c>
      <c r="C235" s="3" t="str">
        <f>_xlfn.TEXTJOIN("-",FALSE,$D235,$J235,$K235)</f>
        <v>R4251279-HHHH-</v>
      </c>
      <c r="D235" s="2" t="s">
        <v>108</v>
      </c>
      <c r="E235" s="2" t="s">
        <v>109</v>
      </c>
      <c r="F235" s="2" t="s">
        <v>110</v>
      </c>
      <c r="G235" s="2" t="s">
        <v>111</v>
      </c>
      <c r="H235" s="2" t="s">
        <v>2076</v>
      </c>
      <c r="I235" s="2" t="s">
        <v>112</v>
      </c>
      <c r="J235" s="2" t="s">
        <v>425</v>
      </c>
      <c r="K235" s="2"/>
      <c r="L235" s="2" t="s">
        <v>2077</v>
      </c>
      <c r="M235" s="2" t="s">
        <v>426</v>
      </c>
      <c r="N235" s="2"/>
      <c r="O235" s="2" t="s">
        <v>427</v>
      </c>
      <c r="P235" s="2"/>
      <c r="Q235" s="2"/>
      <c r="R235" s="2"/>
      <c r="S235" s="2"/>
      <c r="T235" s="2"/>
      <c r="U235" s="2" t="s">
        <v>2041</v>
      </c>
    </row>
    <row r="236" spans="1:21" ht="45" hidden="1" x14ac:dyDescent="0.25">
      <c r="A236" s="3" t="str">
        <f>INDEX('Correg (V1)'!$B:$B,MATCH($C236,'Correg (V1)'!$B:$B,0),1)</f>
        <v>R4251279-I0216489-</v>
      </c>
      <c r="B236" s="3" t="str">
        <f>INDEX('Nueva (V11)'!$B:$B,MATCH($C236,'Nueva (V11)'!$B:$B,0),1)</f>
        <v>R4251279-I0216489-</v>
      </c>
      <c r="C236" s="3" t="str">
        <f>_xlfn.TEXTJOIN("-",FALSE,$D236,$J236,$K236)</f>
        <v>R4251279-I0216489-</v>
      </c>
      <c r="D236" s="2" t="s">
        <v>108</v>
      </c>
      <c r="E236" s="2" t="s">
        <v>109</v>
      </c>
      <c r="F236" s="2" t="s">
        <v>110</v>
      </c>
      <c r="G236" s="2" t="s">
        <v>111</v>
      </c>
      <c r="H236" s="2" t="s">
        <v>2076</v>
      </c>
      <c r="I236" s="2" t="s">
        <v>112</v>
      </c>
      <c r="J236" s="2" t="s">
        <v>393</v>
      </c>
      <c r="K236" s="2"/>
      <c r="L236" s="2" t="s">
        <v>2077</v>
      </c>
      <c r="M236" s="2" t="s">
        <v>394</v>
      </c>
      <c r="N236" s="2"/>
      <c r="O236" s="2" t="s">
        <v>395</v>
      </c>
      <c r="P236" s="2"/>
      <c r="Q236" s="2"/>
      <c r="R236" s="2"/>
      <c r="S236" s="2"/>
      <c r="T236" s="2"/>
      <c r="U236" s="2" t="s">
        <v>2041</v>
      </c>
    </row>
    <row r="237" spans="1:21" ht="45" hidden="1" x14ac:dyDescent="0.25">
      <c r="A237" s="3" t="str">
        <f>INDEX('Correg (V1)'!$B:$B,MATCH($C237,'Correg (V1)'!$B:$B,0),1)</f>
        <v>R4251279-I2505212-</v>
      </c>
      <c r="B237" s="3" t="str">
        <f>INDEX('Nueva (V11)'!$B:$B,MATCH($C237,'Nueva (V11)'!$B:$B,0),1)</f>
        <v>R4251279-I2505212-</v>
      </c>
      <c r="C237" s="3" t="str">
        <f>_xlfn.TEXTJOIN("-",FALSE,$D237,$J237,$K237)</f>
        <v>R4251279-I2505212-</v>
      </c>
      <c r="D237" s="2" t="s">
        <v>108</v>
      </c>
      <c r="E237" s="2" t="s">
        <v>109</v>
      </c>
      <c r="F237" s="2" t="s">
        <v>110</v>
      </c>
      <c r="G237" s="2" t="s">
        <v>111</v>
      </c>
      <c r="H237" s="2" t="s">
        <v>2076</v>
      </c>
      <c r="I237" s="2" t="s">
        <v>112</v>
      </c>
      <c r="J237" s="2" t="s">
        <v>326</v>
      </c>
      <c r="K237" s="2"/>
      <c r="L237" s="2" t="s">
        <v>2077</v>
      </c>
      <c r="M237" s="2" t="s">
        <v>327</v>
      </c>
      <c r="N237" s="2"/>
      <c r="O237" s="2" t="s">
        <v>328</v>
      </c>
      <c r="P237" s="2"/>
      <c r="Q237" s="2"/>
      <c r="R237" s="2"/>
      <c r="S237" s="2"/>
      <c r="T237" s="2"/>
      <c r="U237" s="2" t="s">
        <v>2041</v>
      </c>
    </row>
    <row r="238" spans="1:21" ht="45" hidden="1" x14ac:dyDescent="0.25">
      <c r="A238" s="3" t="str">
        <f>INDEX('Correg (V1)'!$B:$B,MATCH($C238,'Correg (V1)'!$B:$B,0),1)</f>
        <v>R4251279-I4793714-</v>
      </c>
      <c r="B238" s="3" t="str">
        <f>INDEX('Nueva (V11)'!$B:$B,MATCH($C238,'Nueva (V11)'!$B:$B,0),1)</f>
        <v>R4251279-I4793714-</v>
      </c>
      <c r="C238" s="3" t="str">
        <f>_xlfn.TEXTJOIN("-",FALSE,$D238,$J238,$K238)</f>
        <v>R4251279-I4793714-</v>
      </c>
      <c r="D238" s="2" t="s">
        <v>108</v>
      </c>
      <c r="E238" s="2" t="s">
        <v>109</v>
      </c>
      <c r="F238" s="2" t="s">
        <v>110</v>
      </c>
      <c r="G238" s="2" t="s">
        <v>111</v>
      </c>
      <c r="H238" s="2" t="s">
        <v>2076</v>
      </c>
      <c r="I238" s="2" t="s">
        <v>112</v>
      </c>
      <c r="J238" s="2" t="s">
        <v>421</v>
      </c>
      <c r="K238" s="2"/>
      <c r="L238" s="2" t="s">
        <v>2077</v>
      </c>
      <c r="M238" s="2" t="s">
        <v>394</v>
      </c>
      <c r="N238" s="2"/>
      <c r="O238" s="2" t="s">
        <v>422</v>
      </c>
      <c r="P238" s="2"/>
      <c r="Q238" s="2"/>
      <c r="R238" s="2"/>
      <c r="S238" s="2"/>
      <c r="T238" s="2"/>
      <c r="U238" s="2" t="s">
        <v>2041</v>
      </c>
    </row>
    <row r="239" spans="1:21" ht="45" hidden="1" x14ac:dyDescent="0.25">
      <c r="A239" s="3" t="str">
        <f>INDEX('Correg (V1)'!$B:$B,MATCH($C239,'Correg (V1)'!$B:$B,0),1)</f>
        <v>R4251279-I8657204-</v>
      </c>
      <c r="B239" s="3" t="str">
        <f>INDEX('Nueva (V11)'!$B:$B,MATCH($C239,'Nueva (V11)'!$B:$B,0),1)</f>
        <v>R4251279-I8657204-</v>
      </c>
      <c r="C239" s="3" t="str">
        <f>_xlfn.TEXTJOIN("-",FALSE,$D239,$J239,$K239)</f>
        <v>R4251279-I8657204-</v>
      </c>
      <c r="D239" s="2" t="s">
        <v>108</v>
      </c>
      <c r="E239" s="2" t="s">
        <v>109</v>
      </c>
      <c r="F239" s="2" t="s">
        <v>110</v>
      </c>
      <c r="G239" s="2" t="s">
        <v>111</v>
      </c>
      <c r="H239" s="2" t="s">
        <v>2076</v>
      </c>
      <c r="I239" s="2" t="s">
        <v>112</v>
      </c>
      <c r="J239" s="2" t="s">
        <v>291</v>
      </c>
      <c r="K239" s="2"/>
      <c r="L239" s="2" t="s">
        <v>2077</v>
      </c>
      <c r="M239" s="2" t="s">
        <v>292</v>
      </c>
      <c r="N239" s="2"/>
      <c r="O239" s="2" t="s">
        <v>293</v>
      </c>
      <c r="P239" s="2"/>
      <c r="Q239" s="2"/>
      <c r="R239" s="2"/>
      <c r="S239" s="2"/>
      <c r="T239" s="2"/>
      <c r="U239" s="2" t="s">
        <v>2041</v>
      </c>
    </row>
    <row r="240" spans="1:21" ht="45" hidden="1" x14ac:dyDescent="0.25">
      <c r="A240" s="3" t="str">
        <f>INDEX('Correg (V1)'!$B:$B,MATCH($C240,'Correg (V1)'!$B:$B,0),1)</f>
        <v>R4251279-J0489795-</v>
      </c>
      <c r="B240" s="3" t="str">
        <f>INDEX('Nueva (V11)'!$B:$B,MATCH($C240,'Nueva (V11)'!$B:$B,0),1)</f>
        <v>R4251279-J0489795-</v>
      </c>
      <c r="C240" s="3" t="str">
        <f>_xlfn.TEXTJOIN("-",FALSE,$D240,$J240,$K240)</f>
        <v>R4251279-J0489795-</v>
      </c>
      <c r="D240" s="2" t="s">
        <v>108</v>
      </c>
      <c r="E240" s="2" t="s">
        <v>109</v>
      </c>
      <c r="F240" s="2" t="s">
        <v>110</v>
      </c>
      <c r="G240" s="2" t="s">
        <v>111</v>
      </c>
      <c r="H240" s="2" t="s">
        <v>2076</v>
      </c>
      <c r="I240" s="2" t="s">
        <v>112</v>
      </c>
      <c r="J240" s="2" t="s">
        <v>233</v>
      </c>
      <c r="K240" s="2"/>
      <c r="L240" s="2" t="s">
        <v>2077</v>
      </c>
      <c r="M240" s="2" t="s">
        <v>234</v>
      </c>
      <c r="N240" s="2"/>
      <c r="O240" s="2" t="s">
        <v>235</v>
      </c>
      <c r="P240" s="2"/>
      <c r="Q240" s="2"/>
      <c r="R240" s="2"/>
      <c r="S240" s="2"/>
      <c r="T240" s="2"/>
      <c r="U240" s="2" t="s">
        <v>2041</v>
      </c>
    </row>
    <row r="241" spans="1:21" ht="45" hidden="1" x14ac:dyDescent="0.25">
      <c r="A241" s="3" t="str">
        <f>INDEX('Correg (V1)'!$B:$B,MATCH($C241,'Correg (V1)'!$B:$B,0),1)</f>
        <v>R4251279-J0804400-</v>
      </c>
      <c r="B241" s="3" t="str">
        <f>INDEX('Nueva (V11)'!$B:$B,MATCH($C241,'Nueva (V11)'!$B:$B,0),1)</f>
        <v>R4251279-J0804400-</v>
      </c>
      <c r="C241" s="3" t="str">
        <f>_xlfn.TEXTJOIN("-",FALSE,$D241,$J241,$K241)</f>
        <v>R4251279-J0804400-</v>
      </c>
      <c r="D241" s="2" t="s">
        <v>108</v>
      </c>
      <c r="E241" s="2" t="s">
        <v>109</v>
      </c>
      <c r="F241" s="2" t="s">
        <v>110</v>
      </c>
      <c r="G241" s="2" t="s">
        <v>111</v>
      </c>
      <c r="H241" s="2" t="s">
        <v>2076</v>
      </c>
      <c r="I241" s="2" t="s">
        <v>112</v>
      </c>
      <c r="J241" s="2" t="s">
        <v>146</v>
      </c>
      <c r="K241" s="2"/>
      <c r="L241" s="2" t="s">
        <v>2077</v>
      </c>
      <c r="M241" s="2" t="s">
        <v>147</v>
      </c>
      <c r="N241" s="2"/>
      <c r="O241" s="2" t="s">
        <v>148</v>
      </c>
      <c r="P241" s="2"/>
      <c r="Q241" s="2"/>
      <c r="R241" s="2"/>
      <c r="S241" s="2"/>
      <c r="T241" s="2"/>
      <c r="U241" s="2" t="s">
        <v>2041</v>
      </c>
    </row>
    <row r="242" spans="1:21" ht="45" hidden="1" x14ac:dyDescent="0.25">
      <c r="A242" s="3" t="str">
        <f>INDEX('Correg (V1)'!$B:$B,MATCH($C242,'Correg (V1)'!$B:$B,0),1)</f>
        <v>R4251279-J1131990-</v>
      </c>
      <c r="B242" s="3" t="str">
        <f>INDEX('Nueva (V11)'!$B:$B,MATCH($C242,'Nueva (V11)'!$B:$B,0),1)</f>
        <v>R4251279-J1131990-</v>
      </c>
      <c r="C242" s="3" t="str">
        <f>_xlfn.TEXTJOIN("-",FALSE,$D242,$J242,$K242)</f>
        <v>R4251279-J1131990-</v>
      </c>
      <c r="D242" s="2" t="s">
        <v>108</v>
      </c>
      <c r="E242" s="2" t="s">
        <v>109</v>
      </c>
      <c r="F242" s="2" t="s">
        <v>110</v>
      </c>
      <c r="G242" s="2" t="s">
        <v>111</v>
      </c>
      <c r="H242" s="2" t="s">
        <v>2076</v>
      </c>
      <c r="I242" s="2" t="s">
        <v>112</v>
      </c>
      <c r="J242" s="2" t="s">
        <v>201</v>
      </c>
      <c r="K242" s="2"/>
      <c r="L242" s="2" t="s">
        <v>2077</v>
      </c>
      <c r="M242" s="2" t="s">
        <v>202</v>
      </c>
      <c r="N242" s="2"/>
      <c r="O242" s="2" t="s">
        <v>203</v>
      </c>
      <c r="P242" s="2"/>
      <c r="Q242" s="2"/>
      <c r="R242" s="2"/>
      <c r="S242" s="2"/>
      <c r="T242" s="2"/>
      <c r="U242" s="2" t="s">
        <v>2041</v>
      </c>
    </row>
    <row r="243" spans="1:21" ht="45" hidden="1" x14ac:dyDescent="0.25">
      <c r="A243" s="3" t="str">
        <f>INDEX('Correg (V1)'!$B:$B,MATCH($C243,'Correg (V1)'!$B:$B,0),1)</f>
        <v>R4251279-J1573527-</v>
      </c>
      <c r="B243" s="3" t="str">
        <f>INDEX('Nueva (V11)'!$B:$B,MATCH($C243,'Nueva (V11)'!$B:$B,0),1)</f>
        <v>R4251279-J1573527-</v>
      </c>
      <c r="C243" s="3" t="str">
        <f>_xlfn.TEXTJOIN("-",FALSE,$D243,$J243,$K243)</f>
        <v>R4251279-J1573527-</v>
      </c>
      <c r="D243" s="2" t="s">
        <v>108</v>
      </c>
      <c r="E243" s="2" t="s">
        <v>109</v>
      </c>
      <c r="F243" s="2" t="s">
        <v>110</v>
      </c>
      <c r="G243" s="2" t="s">
        <v>111</v>
      </c>
      <c r="H243" s="2" t="s">
        <v>2076</v>
      </c>
      <c r="I243" s="2" t="s">
        <v>112</v>
      </c>
      <c r="J243" s="2" t="s">
        <v>167</v>
      </c>
      <c r="K243" s="2"/>
      <c r="L243" s="2" t="s">
        <v>2077</v>
      </c>
      <c r="M243" s="2" t="s">
        <v>168</v>
      </c>
      <c r="N243" s="2"/>
      <c r="O243" s="2" t="s">
        <v>169</v>
      </c>
      <c r="P243" s="2"/>
      <c r="Q243" s="2"/>
      <c r="R243" s="2"/>
      <c r="S243" s="2"/>
      <c r="T243" s="2"/>
      <c r="U243" s="2" t="s">
        <v>2041</v>
      </c>
    </row>
    <row r="244" spans="1:21" ht="45" hidden="1" x14ac:dyDescent="0.25">
      <c r="A244" s="3" t="str">
        <f>INDEX('Correg (V1)'!$B:$B,MATCH($C244,'Correg (V1)'!$B:$B,0),1)</f>
        <v>R4251279-J1640357-</v>
      </c>
      <c r="B244" s="3" t="str">
        <f>INDEX('Nueva (V11)'!$B:$B,MATCH($C244,'Nueva (V11)'!$B:$B,0),1)</f>
        <v>R4251279-J1640357-</v>
      </c>
      <c r="C244" s="3" t="str">
        <f>_xlfn.TEXTJOIN("-",FALSE,$D244,$J244,$K244)</f>
        <v>R4251279-J1640357-</v>
      </c>
      <c r="D244" s="2" t="s">
        <v>108</v>
      </c>
      <c r="E244" s="2" t="s">
        <v>109</v>
      </c>
      <c r="F244" s="2" t="s">
        <v>110</v>
      </c>
      <c r="G244" s="2" t="s">
        <v>111</v>
      </c>
      <c r="H244" s="2" t="s">
        <v>2076</v>
      </c>
      <c r="I244" s="2" t="s">
        <v>112</v>
      </c>
      <c r="J244" s="2" t="s">
        <v>207</v>
      </c>
      <c r="K244" s="2"/>
      <c r="L244" s="2" t="s">
        <v>2077</v>
      </c>
      <c r="M244" s="2" t="s">
        <v>208</v>
      </c>
      <c r="N244" s="2"/>
      <c r="O244" s="2" t="s">
        <v>163</v>
      </c>
      <c r="P244" s="2"/>
      <c r="Q244" s="2"/>
      <c r="R244" s="2"/>
      <c r="S244" s="2"/>
      <c r="T244" s="2"/>
      <c r="U244" s="2" t="s">
        <v>2041</v>
      </c>
    </row>
    <row r="245" spans="1:21" ht="45" hidden="1" x14ac:dyDescent="0.25">
      <c r="A245" s="3" t="str">
        <f>INDEX('Correg (V1)'!$B:$B,MATCH($C245,'Correg (V1)'!$B:$B,0),1)</f>
        <v>R4251279-J5018536-</v>
      </c>
      <c r="B245" s="3" t="str">
        <f>INDEX('Nueva (V11)'!$B:$B,MATCH($C245,'Nueva (V11)'!$B:$B,0),1)</f>
        <v>R4251279-J5018536-</v>
      </c>
      <c r="C245" s="3" t="str">
        <f>_xlfn.TEXTJOIN("-",FALSE,$D245,$J245,$K245)</f>
        <v>R4251279-J5018536-</v>
      </c>
      <c r="D245" s="2" t="s">
        <v>108</v>
      </c>
      <c r="E245" s="2" t="s">
        <v>109</v>
      </c>
      <c r="F245" s="2" t="s">
        <v>110</v>
      </c>
      <c r="G245" s="2" t="s">
        <v>111</v>
      </c>
      <c r="H245" s="2" t="s">
        <v>2076</v>
      </c>
      <c r="I245" s="2" t="s">
        <v>112</v>
      </c>
      <c r="J245" s="2" t="s">
        <v>123</v>
      </c>
      <c r="K245" s="2"/>
      <c r="L245" s="2" t="s">
        <v>2077</v>
      </c>
      <c r="M245" s="2" t="s">
        <v>124</v>
      </c>
      <c r="N245" s="2"/>
      <c r="O245" s="2" t="s">
        <v>125</v>
      </c>
      <c r="P245" s="2"/>
      <c r="Q245" s="2"/>
      <c r="R245" s="2"/>
      <c r="S245" s="2"/>
      <c r="T245" s="2"/>
      <c r="U245" s="2" t="s">
        <v>2041</v>
      </c>
    </row>
    <row r="246" spans="1:21" ht="45" hidden="1" x14ac:dyDescent="0.25">
      <c r="A246" s="3" t="str">
        <f>INDEX('Correg (V1)'!$B:$B,MATCH($C246,'Correg (V1)'!$B:$B,0),1)</f>
        <v>R4251279-J5430379-</v>
      </c>
      <c r="B246" s="3" t="str">
        <f>INDEX('Nueva (V11)'!$B:$B,MATCH($C246,'Nueva (V11)'!$B:$B,0),1)</f>
        <v>R4251279-J5430379-</v>
      </c>
      <c r="C246" s="3" t="str">
        <f>_xlfn.TEXTJOIN("-",FALSE,$D246,$J246,$K246)</f>
        <v>R4251279-J5430379-</v>
      </c>
      <c r="D246" s="2" t="s">
        <v>108</v>
      </c>
      <c r="E246" s="2" t="s">
        <v>109</v>
      </c>
      <c r="F246" s="2" t="s">
        <v>110</v>
      </c>
      <c r="G246" s="2" t="s">
        <v>111</v>
      </c>
      <c r="H246" s="2" t="s">
        <v>2076</v>
      </c>
      <c r="I246" s="2" t="s">
        <v>112</v>
      </c>
      <c r="J246" s="2" t="s">
        <v>257</v>
      </c>
      <c r="K246" s="2"/>
      <c r="L246" s="2" t="s">
        <v>2077</v>
      </c>
      <c r="M246" s="2" t="s">
        <v>258</v>
      </c>
      <c r="N246" s="2"/>
      <c r="O246" s="2" t="s">
        <v>259</v>
      </c>
      <c r="P246" s="2"/>
      <c r="Q246" s="2"/>
      <c r="R246" s="2"/>
      <c r="S246" s="2"/>
      <c r="T246" s="2"/>
      <c r="U246" s="2" t="s">
        <v>2041</v>
      </c>
    </row>
    <row r="247" spans="1:21" ht="45" hidden="1" x14ac:dyDescent="0.25">
      <c r="A247" s="3" t="str">
        <f>INDEX('Correg (V1)'!$B:$B,MATCH($C247,'Correg (V1)'!$B:$B,0),1)</f>
        <v>R4251279-J5822076-</v>
      </c>
      <c r="B247" s="3" t="str">
        <f>INDEX('Nueva (V11)'!$B:$B,MATCH($C247,'Nueva (V11)'!$B:$B,0),1)</f>
        <v>R4251279-J5822076-</v>
      </c>
      <c r="C247" s="3" t="str">
        <f>_xlfn.TEXTJOIN("-",FALSE,$D247,$J247,$K247)</f>
        <v>R4251279-J5822076-</v>
      </c>
      <c r="D247" s="2" t="s">
        <v>108</v>
      </c>
      <c r="E247" s="2" t="s">
        <v>109</v>
      </c>
      <c r="F247" s="2" t="s">
        <v>110</v>
      </c>
      <c r="G247" s="2" t="s">
        <v>111</v>
      </c>
      <c r="H247" s="2" t="s">
        <v>2076</v>
      </c>
      <c r="I247" s="2" t="s">
        <v>112</v>
      </c>
      <c r="J247" s="2" t="s">
        <v>181</v>
      </c>
      <c r="K247" s="2"/>
      <c r="L247" s="2" t="s">
        <v>2077</v>
      </c>
      <c r="M247" s="2" t="s">
        <v>182</v>
      </c>
      <c r="N247" s="2"/>
      <c r="O247" s="2" t="s">
        <v>183</v>
      </c>
      <c r="P247" s="2"/>
      <c r="Q247" s="2"/>
      <c r="R247" s="2"/>
      <c r="S247" s="2"/>
      <c r="T247" s="2"/>
      <c r="U247" s="2" t="s">
        <v>2041</v>
      </c>
    </row>
    <row r="248" spans="1:21" ht="45" hidden="1" x14ac:dyDescent="0.25">
      <c r="A248" s="3" t="str">
        <f>INDEX('Correg (V1)'!$B:$B,MATCH($C248,'Correg (V1)'!$B:$B,0),1)</f>
        <v>R4251279-J9085499-</v>
      </c>
      <c r="B248" s="3" t="str">
        <f>INDEX('Nueva (V11)'!$B:$B,MATCH($C248,'Nueva (V11)'!$B:$B,0),1)</f>
        <v>R4251279-J9085499-</v>
      </c>
      <c r="C248" s="3" t="str">
        <f>_xlfn.TEXTJOIN("-",FALSE,$D248,$J248,$K248)</f>
        <v>R4251279-J9085499-</v>
      </c>
      <c r="D248" s="2" t="s">
        <v>108</v>
      </c>
      <c r="E248" s="2" t="s">
        <v>109</v>
      </c>
      <c r="F248" s="2" t="s">
        <v>110</v>
      </c>
      <c r="G248" s="2" t="s">
        <v>111</v>
      </c>
      <c r="H248" s="2" t="s">
        <v>2076</v>
      </c>
      <c r="I248" s="2" t="s">
        <v>112</v>
      </c>
      <c r="J248" s="2" t="s">
        <v>126</v>
      </c>
      <c r="K248" s="2"/>
      <c r="L248" s="2" t="s">
        <v>2077</v>
      </c>
      <c r="M248" s="2" t="s">
        <v>127</v>
      </c>
      <c r="N248" s="2"/>
      <c r="O248" s="2" t="s">
        <v>128</v>
      </c>
      <c r="P248" s="2"/>
      <c r="Q248" s="2"/>
      <c r="R248" s="2"/>
      <c r="S248" s="2"/>
      <c r="T248" s="2"/>
      <c r="U248" s="2" t="s">
        <v>2041</v>
      </c>
    </row>
    <row r="249" spans="1:21" ht="45" hidden="1" x14ac:dyDescent="0.25">
      <c r="A249" s="3" t="str">
        <f>INDEX('Correg (V1)'!$B:$B,MATCH($C249,'Correg (V1)'!$B:$B,0),1)</f>
        <v>R4251279-J9108150-</v>
      </c>
      <c r="B249" s="3" t="str">
        <f>INDEX('Nueva (V11)'!$B:$B,MATCH($C249,'Nueva (V11)'!$B:$B,0),1)</f>
        <v>R4251279-J9108150-</v>
      </c>
      <c r="C249" s="3" t="str">
        <f>_xlfn.TEXTJOIN("-",FALSE,$D249,$J249,$K249)</f>
        <v>R4251279-J9108150-</v>
      </c>
      <c r="D249" s="2" t="s">
        <v>108</v>
      </c>
      <c r="E249" s="2" t="s">
        <v>109</v>
      </c>
      <c r="F249" s="2" t="s">
        <v>110</v>
      </c>
      <c r="G249" s="2" t="s">
        <v>111</v>
      </c>
      <c r="H249" s="2" t="s">
        <v>2076</v>
      </c>
      <c r="I249" s="2" t="s">
        <v>112</v>
      </c>
      <c r="J249" s="2" t="s">
        <v>172</v>
      </c>
      <c r="K249" s="2"/>
      <c r="L249" s="2" t="s">
        <v>2077</v>
      </c>
      <c r="M249" s="2" t="s">
        <v>173</v>
      </c>
      <c r="N249" s="2"/>
      <c r="O249" s="2" t="s">
        <v>174</v>
      </c>
      <c r="P249" s="2"/>
      <c r="Q249" s="2"/>
      <c r="R249" s="2"/>
      <c r="S249" s="2"/>
      <c r="T249" s="2"/>
      <c r="U249" s="2" t="s">
        <v>2041</v>
      </c>
    </row>
    <row r="250" spans="1:21" ht="45" hidden="1" x14ac:dyDescent="0.25">
      <c r="A250" s="3" t="str">
        <f>INDEX('Correg (V1)'!$B:$B,MATCH($C250,'Correg (V1)'!$B:$B,0),1)</f>
        <v>R4251279-J9539848-</v>
      </c>
      <c r="B250" s="3" t="str">
        <f>INDEX('Nueva (V11)'!$B:$B,MATCH($C250,'Nueva (V11)'!$B:$B,0),1)</f>
        <v>R4251279-J9539848-</v>
      </c>
      <c r="C250" s="3" t="str">
        <f>_xlfn.TEXTJOIN("-",FALSE,$D250,$J250,$K250)</f>
        <v>R4251279-J9539848-</v>
      </c>
      <c r="D250" s="2" t="s">
        <v>108</v>
      </c>
      <c r="E250" s="2" t="s">
        <v>109</v>
      </c>
      <c r="F250" s="2" t="s">
        <v>110</v>
      </c>
      <c r="G250" s="2" t="s">
        <v>111</v>
      </c>
      <c r="H250" s="2" t="s">
        <v>2076</v>
      </c>
      <c r="I250" s="2" t="s">
        <v>112</v>
      </c>
      <c r="J250" s="2" t="s">
        <v>132</v>
      </c>
      <c r="K250" s="2"/>
      <c r="L250" s="2" t="s">
        <v>2077</v>
      </c>
      <c r="M250" s="2" t="s">
        <v>127</v>
      </c>
      <c r="N250" s="2"/>
      <c r="O250" s="2" t="s">
        <v>133</v>
      </c>
      <c r="P250" s="2"/>
      <c r="Q250" s="2"/>
      <c r="R250" s="2"/>
      <c r="S250" s="2"/>
      <c r="T250" s="2"/>
      <c r="U250" s="2" t="s">
        <v>2041</v>
      </c>
    </row>
    <row r="251" spans="1:21" ht="45" hidden="1" x14ac:dyDescent="0.25">
      <c r="A251" s="3" t="str">
        <f>INDEX('Correg (V1)'!$B:$B,MATCH($C251,'Correg (V1)'!$B:$B,0),1)</f>
        <v>R4251279-K0341276-</v>
      </c>
      <c r="B251" s="3" t="str">
        <f>INDEX('Nueva (V11)'!$B:$B,MATCH($C251,'Nueva (V11)'!$B:$B,0),1)</f>
        <v>R4251279-K0341276-</v>
      </c>
      <c r="C251" s="3" t="str">
        <f>_xlfn.TEXTJOIN("-",FALSE,$D251,$J251,$K251)</f>
        <v>R4251279-K0341276-</v>
      </c>
      <c r="D251" s="2" t="s">
        <v>108</v>
      </c>
      <c r="E251" s="2" t="s">
        <v>109</v>
      </c>
      <c r="F251" s="2" t="s">
        <v>110</v>
      </c>
      <c r="G251" s="2" t="s">
        <v>111</v>
      </c>
      <c r="H251" s="2" t="s">
        <v>2076</v>
      </c>
      <c r="I251" s="2" t="s">
        <v>112</v>
      </c>
      <c r="J251" s="2" t="s">
        <v>274</v>
      </c>
      <c r="K251" s="2"/>
      <c r="L251" s="2" t="s">
        <v>2077</v>
      </c>
      <c r="M251" s="2" t="s">
        <v>275</v>
      </c>
      <c r="N251" s="2"/>
      <c r="O251" s="2" t="s">
        <v>276</v>
      </c>
      <c r="P251" s="2"/>
      <c r="Q251" s="2"/>
      <c r="R251" s="2"/>
      <c r="S251" s="2"/>
      <c r="T251" s="2"/>
      <c r="U251" s="2" t="s">
        <v>2041</v>
      </c>
    </row>
    <row r="252" spans="1:21" ht="45" hidden="1" x14ac:dyDescent="0.25">
      <c r="A252" s="3" t="str">
        <f>INDEX('Correg (V1)'!$B:$B,MATCH($C252,'Correg (V1)'!$B:$B,0),1)</f>
        <v>R4251279-K4248020-</v>
      </c>
      <c r="B252" s="3" t="str">
        <f>INDEX('Nueva (V11)'!$B:$B,MATCH($C252,'Nueva (V11)'!$B:$B,0),1)</f>
        <v>R4251279-K4248020-</v>
      </c>
      <c r="C252" s="3" t="str">
        <f>_xlfn.TEXTJOIN("-",FALSE,$D252,$J252,$K252)</f>
        <v>R4251279-K4248020-</v>
      </c>
      <c r="D252" s="2" t="s">
        <v>108</v>
      </c>
      <c r="E252" s="2" t="s">
        <v>109</v>
      </c>
      <c r="F252" s="2" t="s">
        <v>110</v>
      </c>
      <c r="G252" s="2" t="s">
        <v>111</v>
      </c>
      <c r="H252" s="2" t="s">
        <v>2076</v>
      </c>
      <c r="I252" s="2" t="s">
        <v>112</v>
      </c>
      <c r="J252" s="2" t="s">
        <v>320</v>
      </c>
      <c r="K252" s="2"/>
      <c r="L252" s="2" t="s">
        <v>2077</v>
      </c>
      <c r="M252" s="2" t="s">
        <v>321</v>
      </c>
      <c r="N252" s="2"/>
      <c r="O252" s="2" t="s">
        <v>322</v>
      </c>
      <c r="P252" s="2"/>
      <c r="Q252" s="2"/>
      <c r="R252" s="2"/>
      <c r="S252" s="2"/>
      <c r="T252" s="2"/>
      <c r="U252" s="2" t="s">
        <v>2041</v>
      </c>
    </row>
    <row r="253" spans="1:21" ht="45" hidden="1" x14ac:dyDescent="0.25">
      <c r="A253" s="3" t="str">
        <f>INDEX('Correg (V1)'!$B:$B,MATCH($C253,'Correg (V1)'!$B:$B,0),1)</f>
        <v>R4251279-K5092393-</v>
      </c>
      <c r="B253" s="3" t="str">
        <f>INDEX('Nueva (V11)'!$B:$B,MATCH($C253,'Nueva (V11)'!$B:$B,0),1)</f>
        <v>R4251279-K5092393-</v>
      </c>
      <c r="C253" s="3" t="str">
        <f>_xlfn.TEXTJOIN("-",FALSE,$D253,$J253,$K253)</f>
        <v>R4251279-K5092393-</v>
      </c>
      <c r="D253" s="2" t="s">
        <v>108</v>
      </c>
      <c r="E253" s="2" t="s">
        <v>109</v>
      </c>
      <c r="F253" s="2" t="s">
        <v>110</v>
      </c>
      <c r="G253" s="2" t="s">
        <v>111</v>
      </c>
      <c r="H253" s="2" t="s">
        <v>2076</v>
      </c>
      <c r="I253" s="2" t="s">
        <v>112</v>
      </c>
      <c r="J253" s="2" t="s">
        <v>294</v>
      </c>
      <c r="K253" s="2"/>
      <c r="L253" s="2" t="s">
        <v>2077</v>
      </c>
      <c r="M253" s="2" t="s">
        <v>295</v>
      </c>
      <c r="N253" s="2"/>
      <c r="O253" s="2" t="s">
        <v>296</v>
      </c>
      <c r="P253" s="2"/>
      <c r="Q253" s="2"/>
      <c r="R253" s="2"/>
      <c r="S253" s="2"/>
      <c r="T253" s="2"/>
      <c r="U253" s="2" t="s">
        <v>2041</v>
      </c>
    </row>
    <row r="254" spans="1:21" ht="45" hidden="1" x14ac:dyDescent="0.25">
      <c r="A254" s="3" t="str">
        <f>INDEX('Correg (V1)'!$B:$B,MATCH($C254,'Correg (V1)'!$B:$B,0),1)</f>
        <v>R4251279-K6829701-</v>
      </c>
      <c r="B254" s="3" t="str">
        <f>INDEX('Nueva (V11)'!$B:$B,MATCH($C254,'Nueva (V11)'!$B:$B,0),1)</f>
        <v>R4251279-K6829701-</v>
      </c>
      <c r="C254" s="3" t="str">
        <f>_xlfn.TEXTJOIN("-",FALSE,$D254,$J254,$K254)</f>
        <v>R4251279-K6829701-</v>
      </c>
      <c r="D254" s="2" t="s">
        <v>108</v>
      </c>
      <c r="E254" s="2" t="s">
        <v>109</v>
      </c>
      <c r="F254" s="2" t="s">
        <v>110</v>
      </c>
      <c r="G254" s="2" t="s">
        <v>111</v>
      </c>
      <c r="H254" s="2" t="s">
        <v>2076</v>
      </c>
      <c r="I254" s="2" t="s">
        <v>112</v>
      </c>
      <c r="J254" s="2" t="s">
        <v>277</v>
      </c>
      <c r="K254" s="2"/>
      <c r="L254" s="2" t="s">
        <v>2077</v>
      </c>
      <c r="M254" s="2" t="s">
        <v>275</v>
      </c>
      <c r="N254" s="2"/>
      <c r="O254" s="2" t="s">
        <v>278</v>
      </c>
      <c r="P254" s="2"/>
      <c r="Q254" s="2"/>
      <c r="R254" s="2"/>
      <c r="S254" s="2"/>
      <c r="T254" s="2"/>
      <c r="U254" s="2" t="s">
        <v>2041</v>
      </c>
    </row>
    <row r="255" spans="1:21" ht="45" hidden="1" x14ac:dyDescent="0.25">
      <c r="A255" s="3" t="str">
        <f>INDEX('Correg (V1)'!$B:$B,MATCH($C255,'Correg (V1)'!$B:$B,0),1)</f>
        <v>R4251279-K9328312-</v>
      </c>
      <c r="B255" s="3" t="str">
        <f>INDEX('Nueva (V11)'!$B:$B,MATCH($C255,'Nueva (V11)'!$B:$B,0),1)</f>
        <v>R4251279-K9328312-</v>
      </c>
      <c r="C255" s="3" t="str">
        <f>_xlfn.TEXTJOIN("-",FALSE,$D255,$J255,$K255)</f>
        <v>R4251279-K9328312-</v>
      </c>
      <c r="D255" s="2" t="s">
        <v>108</v>
      </c>
      <c r="E255" s="2" t="s">
        <v>109</v>
      </c>
      <c r="F255" s="2" t="s">
        <v>110</v>
      </c>
      <c r="G255" s="2" t="s">
        <v>111</v>
      </c>
      <c r="H255" s="2" t="s">
        <v>2076</v>
      </c>
      <c r="I255" s="2" t="s">
        <v>112</v>
      </c>
      <c r="J255" s="2" t="s">
        <v>338</v>
      </c>
      <c r="K255" s="2"/>
      <c r="L255" s="2" t="s">
        <v>2077</v>
      </c>
      <c r="M255" s="2" t="s">
        <v>295</v>
      </c>
      <c r="N255" s="2"/>
      <c r="O255" s="2" t="s">
        <v>339</v>
      </c>
      <c r="P255" s="2"/>
      <c r="Q255" s="2"/>
      <c r="R255" s="2"/>
      <c r="S255" s="2"/>
      <c r="T255" s="2"/>
      <c r="U255" s="2" t="s">
        <v>2041</v>
      </c>
    </row>
    <row r="256" spans="1:21" ht="45" hidden="1" x14ac:dyDescent="0.25">
      <c r="A256" s="3" t="str">
        <f>INDEX('Correg (V1)'!$B:$B,MATCH($C256,'Correg (V1)'!$B:$B,0),1)</f>
        <v>R4251279-K9428348-</v>
      </c>
      <c r="B256" s="3" t="str">
        <f>INDEX('Nueva (V11)'!$B:$B,MATCH($C256,'Nueva (V11)'!$B:$B,0),1)</f>
        <v>R4251279-K9428348-</v>
      </c>
      <c r="C256" s="3" t="str">
        <f>_xlfn.TEXTJOIN("-",FALSE,$D256,$J256,$K256)</f>
        <v>R4251279-K9428348-</v>
      </c>
      <c r="D256" s="2" t="s">
        <v>108</v>
      </c>
      <c r="E256" s="2" t="s">
        <v>109</v>
      </c>
      <c r="F256" s="2" t="s">
        <v>110</v>
      </c>
      <c r="G256" s="2" t="s">
        <v>111</v>
      </c>
      <c r="H256" s="2" t="s">
        <v>2076</v>
      </c>
      <c r="I256" s="2" t="s">
        <v>112</v>
      </c>
      <c r="J256" s="2" t="s">
        <v>306</v>
      </c>
      <c r="K256" s="2"/>
      <c r="L256" s="2" t="s">
        <v>2077</v>
      </c>
      <c r="M256" s="2" t="s">
        <v>307</v>
      </c>
      <c r="N256" s="2"/>
      <c r="O256" s="2" t="s">
        <v>308</v>
      </c>
      <c r="P256" s="2"/>
      <c r="Q256" s="2"/>
      <c r="R256" s="2"/>
      <c r="S256" s="2"/>
      <c r="T256" s="2"/>
      <c r="U256" s="2" t="s">
        <v>2041</v>
      </c>
    </row>
    <row r="257" spans="1:21" ht="45" hidden="1" x14ac:dyDescent="0.25">
      <c r="A257" s="3" t="str">
        <f>INDEX('Correg (V1)'!$B:$B,MATCH($C257,'Correg (V1)'!$B:$B,0),1)</f>
        <v>R4251279-L1379177-</v>
      </c>
      <c r="B257" s="3" t="str">
        <f>INDEX('Nueva (V11)'!$B:$B,MATCH($C257,'Nueva (V11)'!$B:$B,0),1)</f>
        <v>R4251279-L1379177-</v>
      </c>
      <c r="C257" s="3" t="str">
        <f>_xlfn.TEXTJOIN("-",FALSE,$D257,$J257,$K257)</f>
        <v>R4251279-L1379177-</v>
      </c>
      <c r="D257" s="2" t="s">
        <v>108</v>
      </c>
      <c r="E257" s="2" t="s">
        <v>109</v>
      </c>
      <c r="F257" s="2" t="s">
        <v>110</v>
      </c>
      <c r="G257" s="2" t="s">
        <v>111</v>
      </c>
      <c r="H257" s="2" t="s">
        <v>2076</v>
      </c>
      <c r="I257" s="2" t="s">
        <v>112</v>
      </c>
      <c r="J257" s="2" t="s">
        <v>193</v>
      </c>
      <c r="K257" s="2"/>
      <c r="L257" s="2" t="s">
        <v>2077</v>
      </c>
      <c r="M257" s="2" t="s">
        <v>194</v>
      </c>
      <c r="N257" s="2"/>
      <c r="O257" s="2" t="s">
        <v>195</v>
      </c>
      <c r="P257" s="2"/>
      <c r="Q257" s="2"/>
      <c r="R257" s="2"/>
      <c r="S257" s="2"/>
      <c r="T257" s="2"/>
      <c r="U257" s="2" t="s">
        <v>2041</v>
      </c>
    </row>
    <row r="258" spans="1:21" ht="45" hidden="1" x14ac:dyDescent="0.25">
      <c r="A258" s="3" t="str">
        <f>INDEX('Correg (V1)'!$B:$B,MATCH($C258,'Correg (V1)'!$B:$B,0),1)</f>
        <v>R4251279-L1916684-</v>
      </c>
      <c r="B258" s="3" t="str">
        <f>INDEX('Nueva (V11)'!$B:$B,MATCH($C258,'Nueva (V11)'!$B:$B,0),1)</f>
        <v>R4251279-L1916684-</v>
      </c>
      <c r="C258" s="3" t="str">
        <f>_xlfn.TEXTJOIN("-",FALSE,$D258,$J258,$K258)</f>
        <v>R4251279-L1916684-</v>
      </c>
      <c r="D258" s="2" t="s">
        <v>108</v>
      </c>
      <c r="E258" s="2" t="s">
        <v>109</v>
      </c>
      <c r="F258" s="2" t="s">
        <v>110</v>
      </c>
      <c r="G258" s="2" t="s">
        <v>111</v>
      </c>
      <c r="H258" s="2" t="s">
        <v>2076</v>
      </c>
      <c r="I258" s="2" t="s">
        <v>112</v>
      </c>
      <c r="J258" s="2" t="s">
        <v>196</v>
      </c>
      <c r="K258" s="2"/>
      <c r="L258" s="2" t="s">
        <v>2077</v>
      </c>
      <c r="M258" s="2" t="s">
        <v>197</v>
      </c>
      <c r="N258" s="2"/>
      <c r="O258" s="2" t="s">
        <v>133</v>
      </c>
      <c r="P258" s="2"/>
      <c r="Q258" s="2"/>
      <c r="R258" s="2"/>
      <c r="S258" s="2"/>
      <c r="T258" s="2"/>
      <c r="U258" s="2" t="s">
        <v>2041</v>
      </c>
    </row>
    <row r="259" spans="1:21" ht="45" hidden="1" x14ac:dyDescent="0.25">
      <c r="A259" s="3" t="str">
        <f>INDEX('Correg (V1)'!$B:$B,MATCH($C259,'Correg (V1)'!$B:$B,0),1)</f>
        <v>R4251279-L3774192-</v>
      </c>
      <c r="B259" s="3" t="str">
        <f>INDEX('Nueva (V11)'!$B:$B,MATCH($C259,'Nueva (V11)'!$B:$B,0),1)</f>
        <v>R4251279-L3774192-</v>
      </c>
      <c r="C259" s="3" t="str">
        <f>_xlfn.TEXTJOIN("-",FALSE,$D259,$J259,$K259)</f>
        <v>R4251279-L3774192-</v>
      </c>
      <c r="D259" s="2" t="s">
        <v>108</v>
      </c>
      <c r="E259" s="2" t="s">
        <v>109</v>
      </c>
      <c r="F259" s="2" t="s">
        <v>110</v>
      </c>
      <c r="G259" s="2" t="s">
        <v>111</v>
      </c>
      <c r="H259" s="2" t="s">
        <v>2076</v>
      </c>
      <c r="I259" s="2" t="s">
        <v>112</v>
      </c>
      <c r="J259" s="2" t="s">
        <v>134</v>
      </c>
      <c r="K259" s="2"/>
      <c r="L259" s="2" t="s">
        <v>2077</v>
      </c>
      <c r="M259" s="2" t="s">
        <v>135</v>
      </c>
      <c r="N259" s="2"/>
      <c r="O259" s="2" t="s">
        <v>136</v>
      </c>
      <c r="P259" s="2"/>
      <c r="Q259" s="2"/>
      <c r="R259" s="2"/>
      <c r="S259" s="2"/>
      <c r="T259" s="2"/>
      <c r="U259" s="2" t="s">
        <v>2041</v>
      </c>
    </row>
    <row r="260" spans="1:21" ht="45" hidden="1" x14ac:dyDescent="0.25">
      <c r="A260" s="3" t="str">
        <f>INDEX('Correg (V1)'!$B:$B,MATCH($C260,'Correg (V1)'!$B:$B,0),1)</f>
        <v>R4251279-L5865003-</v>
      </c>
      <c r="B260" s="3" t="str">
        <f>INDEX('Nueva (V11)'!$B:$B,MATCH($C260,'Nueva (V11)'!$B:$B,0),1)</f>
        <v>R4251279-L5865003-</v>
      </c>
      <c r="C260" s="3" t="str">
        <f>_xlfn.TEXTJOIN("-",FALSE,$D260,$J260,$K260)</f>
        <v>R4251279-L5865003-</v>
      </c>
      <c r="D260" s="2" t="s">
        <v>108</v>
      </c>
      <c r="E260" s="2" t="s">
        <v>109</v>
      </c>
      <c r="F260" s="2" t="s">
        <v>110</v>
      </c>
      <c r="G260" s="2" t="s">
        <v>111</v>
      </c>
      <c r="H260" s="2" t="s">
        <v>2076</v>
      </c>
      <c r="I260" s="2" t="s">
        <v>112</v>
      </c>
      <c r="J260" s="2" t="s">
        <v>388</v>
      </c>
      <c r="K260" s="2"/>
      <c r="L260" s="2" t="s">
        <v>2077</v>
      </c>
      <c r="M260" s="2" t="s">
        <v>389</v>
      </c>
      <c r="N260" s="2"/>
      <c r="O260" s="2" t="s">
        <v>390</v>
      </c>
      <c r="P260" s="2"/>
      <c r="Q260" s="2"/>
      <c r="R260" s="2"/>
      <c r="S260" s="2"/>
      <c r="T260" s="2"/>
      <c r="U260" s="2" t="s">
        <v>2041</v>
      </c>
    </row>
    <row r="261" spans="1:21" ht="45" hidden="1" x14ac:dyDescent="0.25">
      <c r="A261" s="3" t="str">
        <f>INDEX('Correg (V1)'!$B:$B,MATCH($C261,'Correg (V1)'!$B:$B,0),1)</f>
        <v>R4251279-L6208379-</v>
      </c>
      <c r="B261" s="3" t="str">
        <f>INDEX('Nueva (V11)'!$B:$B,MATCH($C261,'Nueva (V11)'!$B:$B,0),1)</f>
        <v>R4251279-L6208379-</v>
      </c>
      <c r="C261" s="3" t="str">
        <f>_xlfn.TEXTJOIN("-",FALSE,$D261,$J261,$K261)</f>
        <v>R4251279-L6208379-</v>
      </c>
      <c r="D261" s="2" t="s">
        <v>108</v>
      </c>
      <c r="E261" s="2" t="s">
        <v>109</v>
      </c>
      <c r="F261" s="2" t="s">
        <v>110</v>
      </c>
      <c r="G261" s="2" t="s">
        <v>111</v>
      </c>
      <c r="H261" s="2" t="s">
        <v>2076</v>
      </c>
      <c r="I261" s="2" t="s">
        <v>112</v>
      </c>
      <c r="J261" s="2" t="s">
        <v>329</v>
      </c>
      <c r="K261" s="2"/>
      <c r="L261" s="2" t="s">
        <v>2077</v>
      </c>
      <c r="M261" s="2" t="s">
        <v>330</v>
      </c>
      <c r="N261" s="2"/>
      <c r="O261" s="2" t="s">
        <v>331</v>
      </c>
      <c r="P261" s="2"/>
      <c r="Q261" s="2"/>
      <c r="R261" s="2"/>
      <c r="S261" s="2"/>
      <c r="T261" s="2"/>
      <c r="U261" s="2" t="s">
        <v>2041</v>
      </c>
    </row>
    <row r="262" spans="1:21" ht="45" hidden="1" x14ac:dyDescent="0.25">
      <c r="A262" s="3" t="str">
        <f>INDEX('Correg (V1)'!$B:$B,MATCH($C262,'Correg (V1)'!$B:$B,0),1)</f>
        <v>R4251279-L7446926-</v>
      </c>
      <c r="B262" s="3" t="str">
        <f>INDEX('Nueva (V11)'!$B:$B,MATCH($C262,'Nueva (V11)'!$B:$B,0),1)</f>
        <v>R4251279-L7446926-</v>
      </c>
      <c r="C262" s="3" t="str">
        <f>_xlfn.TEXTJOIN("-",FALSE,$D262,$J262,$K262)</f>
        <v>R4251279-L7446926-</v>
      </c>
      <c r="D262" s="2" t="s">
        <v>108</v>
      </c>
      <c r="E262" s="2" t="s">
        <v>109</v>
      </c>
      <c r="F262" s="2" t="s">
        <v>110</v>
      </c>
      <c r="G262" s="2" t="s">
        <v>111</v>
      </c>
      <c r="H262" s="2" t="s">
        <v>2076</v>
      </c>
      <c r="I262" s="2" t="s">
        <v>112</v>
      </c>
      <c r="J262" s="2" t="s">
        <v>220</v>
      </c>
      <c r="K262" s="2"/>
      <c r="L262" s="2" t="s">
        <v>2077</v>
      </c>
      <c r="M262" s="2" t="s">
        <v>194</v>
      </c>
      <c r="N262" s="2"/>
      <c r="O262" s="2" t="s">
        <v>128</v>
      </c>
      <c r="P262" s="2"/>
      <c r="Q262" s="2"/>
      <c r="R262" s="2"/>
      <c r="S262" s="2"/>
      <c r="T262" s="2"/>
      <c r="U262" s="2" t="s">
        <v>2041</v>
      </c>
    </row>
    <row r="263" spans="1:21" ht="45" hidden="1" x14ac:dyDescent="0.25">
      <c r="A263" s="3" t="str">
        <f>INDEX('Correg (V1)'!$B:$B,MATCH($C263,'Correg (V1)'!$B:$B,0),1)</f>
        <v>R4251279-M0201041-</v>
      </c>
      <c r="B263" s="3" t="str">
        <f>INDEX('Nueva (V11)'!$B:$B,MATCH($C263,'Nueva (V11)'!$B:$B,0),1)</f>
        <v>R4251279-M0201041-</v>
      </c>
      <c r="C263" s="3" t="str">
        <f>_xlfn.TEXTJOIN("-",FALSE,$D263,$J263,$K263)</f>
        <v>R4251279-M0201041-</v>
      </c>
      <c r="D263" s="2" t="s">
        <v>108</v>
      </c>
      <c r="E263" s="2" t="s">
        <v>109</v>
      </c>
      <c r="F263" s="2" t="s">
        <v>110</v>
      </c>
      <c r="G263" s="2" t="s">
        <v>111</v>
      </c>
      <c r="H263" s="2" t="s">
        <v>2076</v>
      </c>
      <c r="I263" s="2" t="s">
        <v>112</v>
      </c>
      <c r="J263" s="2" t="s">
        <v>209</v>
      </c>
      <c r="K263" s="2"/>
      <c r="L263" s="2" t="s">
        <v>2077</v>
      </c>
      <c r="M263" s="2" t="s">
        <v>210</v>
      </c>
      <c r="N263" s="2"/>
      <c r="O263" s="2" t="s">
        <v>211</v>
      </c>
      <c r="P263" s="2"/>
      <c r="Q263" s="2"/>
      <c r="R263" s="2"/>
      <c r="S263" s="2"/>
      <c r="T263" s="2"/>
      <c r="U263" s="2" t="s">
        <v>2041</v>
      </c>
    </row>
    <row r="264" spans="1:21" ht="45" hidden="1" x14ac:dyDescent="0.25">
      <c r="A264" s="3" t="str">
        <f>INDEX('Correg (V1)'!$B:$B,MATCH($C264,'Correg (V1)'!$B:$B,0),1)</f>
        <v>R4251279-M0987407-</v>
      </c>
      <c r="B264" s="3" t="str">
        <f>INDEX('Nueva (V11)'!$B:$B,MATCH($C264,'Nueva (V11)'!$B:$B,0),1)</f>
        <v>R4251279-M0987407-</v>
      </c>
      <c r="C264" s="3" t="str">
        <f>_xlfn.TEXTJOIN("-",FALSE,$D264,$J264,$K264)</f>
        <v>R4251279-M0987407-</v>
      </c>
      <c r="D264" s="2" t="s">
        <v>108</v>
      </c>
      <c r="E264" s="2" t="s">
        <v>109</v>
      </c>
      <c r="F264" s="2" t="s">
        <v>110</v>
      </c>
      <c r="G264" s="2" t="s">
        <v>111</v>
      </c>
      <c r="H264" s="2" t="s">
        <v>2076</v>
      </c>
      <c r="I264" s="2" t="s">
        <v>112</v>
      </c>
      <c r="J264" s="2" t="s">
        <v>288</v>
      </c>
      <c r="K264" s="2"/>
      <c r="L264" s="2" t="s">
        <v>2077</v>
      </c>
      <c r="M264" s="2" t="s">
        <v>289</v>
      </c>
      <c r="N264" s="2"/>
      <c r="O264" s="2" t="s">
        <v>290</v>
      </c>
      <c r="P264" s="2"/>
      <c r="Q264" s="2"/>
      <c r="R264" s="2"/>
      <c r="S264" s="2"/>
      <c r="T264" s="2"/>
      <c r="U264" s="2" t="s">
        <v>2041</v>
      </c>
    </row>
    <row r="265" spans="1:21" ht="45" hidden="1" x14ac:dyDescent="0.25">
      <c r="A265" s="3" t="str">
        <f>INDEX('Correg (V1)'!$B:$B,MATCH($C265,'Correg (V1)'!$B:$B,0),1)</f>
        <v>R4251279-M1274603-</v>
      </c>
      <c r="B265" s="3" t="str">
        <f>INDEX('Nueva (V11)'!$B:$B,MATCH($C265,'Nueva (V11)'!$B:$B,0),1)</f>
        <v>R4251279-M1274603-</v>
      </c>
      <c r="C265" s="3" t="str">
        <f>_xlfn.TEXTJOIN("-",FALSE,$D265,$J265,$K265)</f>
        <v>R4251279-M1274603-</v>
      </c>
      <c r="D265" s="2" t="s">
        <v>108</v>
      </c>
      <c r="E265" s="2" t="s">
        <v>109</v>
      </c>
      <c r="F265" s="2" t="s">
        <v>110</v>
      </c>
      <c r="G265" s="2" t="s">
        <v>111</v>
      </c>
      <c r="H265" s="2" t="s">
        <v>2076</v>
      </c>
      <c r="I265" s="2" t="s">
        <v>112</v>
      </c>
      <c r="J265" s="2" t="s">
        <v>263</v>
      </c>
      <c r="K265" s="2"/>
      <c r="L265" s="2" t="s">
        <v>2077</v>
      </c>
      <c r="M265" s="2" t="s">
        <v>264</v>
      </c>
      <c r="N265" s="2"/>
      <c r="O265" s="2" t="s">
        <v>265</v>
      </c>
      <c r="P265" s="2"/>
      <c r="Q265" s="2"/>
      <c r="R265" s="2"/>
      <c r="S265" s="2"/>
      <c r="T265" s="2"/>
      <c r="U265" s="2" t="s">
        <v>2041</v>
      </c>
    </row>
    <row r="266" spans="1:21" ht="45" hidden="1" x14ac:dyDescent="0.25">
      <c r="A266" s="3" t="str">
        <f>INDEX('Correg (V1)'!$B:$B,MATCH($C266,'Correg (V1)'!$B:$B,0),1)</f>
        <v>R4251279-M1504047-</v>
      </c>
      <c r="B266" s="3" t="str">
        <f>INDEX('Nueva (V11)'!$B:$B,MATCH($C266,'Nueva (V11)'!$B:$B,0),1)</f>
        <v>R4251279-M1504047-</v>
      </c>
      <c r="C266" s="3" t="str">
        <f>_xlfn.TEXTJOIN("-",FALSE,$D266,$J266,$K266)</f>
        <v>R4251279-M1504047-</v>
      </c>
      <c r="D266" s="2" t="s">
        <v>108</v>
      </c>
      <c r="E266" s="2" t="s">
        <v>109</v>
      </c>
      <c r="F266" s="2" t="s">
        <v>110</v>
      </c>
      <c r="G266" s="2" t="s">
        <v>111</v>
      </c>
      <c r="H266" s="2" t="s">
        <v>2076</v>
      </c>
      <c r="I266" s="2" t="s">
        <v>112</v>
      </c>
      <c r="J266" s="2" t="s">
        <v>353</v>
      </c>
      <c r="K266" s="2"/>
      <c r="L266" s="2" t="s">
        <v>2077</v>
      </c>
      <c r="M266" s="2" t="s">
        <v>354</v>
      </c>
      <c r="N266" s="2"/>
      <c r="O266" s="2" t="s">
        <v>355</v>
      </c>
      <c r="P266" s="2"/>
      <c r="Q266" s="2"/>
      <c r="R266" s="2"/>
      <c r="S266" s="2"/>
      <c r="T266" s="2"/>
      <c r="U266" s="2" t="s">
        <v>2041</v>
      </c>
    </row>
    <row r="267" spans="1:21" ht="45" hidden="1" x14ac:dyDescent="0.25">
      <c r="A267" s="3" t="str">
        <f>INDEX('Correg (V1)'!$B:$B,MATCH($C267,'Correg (V1)'!$B:$B,0),1)</f>
        <v>R4251279-M2478472-</v>
      </c>
      <c r="B267" s="3" t="str">
        <f>INDEX('Nueva (V11)'!$B:$B,MATCH($C267,'Nueva (V11)'!$B:$B,0),1)</f>
        <v>R4251279-M2478472-</v>
      </c>
      <c r="C267" s="3" t="str">
        <f>_xlfn.TEXTJOIN("-",FALSE,$D267,$J267,$K267)</f>
        <v>R4251279-M2478472-</v>
      </c>
      <c r="D267" s="2" t="s">
        <v>108</v>
      </c>
      <c r="E267" s="2" t="s">
        <v>109</v>
      </c>
      <c r="F267" s="2" t="s">
        <v>110</v>
      </c>
      <c r="G267" s="2" t="s">
        <v>111</v>
      </c>
      <c r="H267" s="2" t="s">
        <v>2076</v>
      </c>
      <c r="I267" s="2" t="s">
        <v>112</v>
      </c>
      <c r="J267" s="2" t="s">
        <v>149</v>
      </c>
      <c r="K267" s="2"/>
      <c r="L267" s="2" t="s">
        <v>2077</v>
      </c>
      <c r="M267" s="2" t="s">
        <v>150</v>
      </c>
      <c r="N267" s="2"/>
      <c r="O267" s="2" t="s">
        <v>151</v>
      </c>
      <c r="P267" s="2"/>
      <c r="Q267" s="2"/>
      <c r="R267" s="2"/>
      <c r="S267" s="2"/>
      <c r="T267" s="2"/>
      <c r="U267" s="2" t="s">
        <v>2041</v>
      </c>
    </row>
    <row r="268" spans="1:21" ht="45" hidden="1" x14ac:dyDescent="0.25">
      <c r="A268" s="3" t="str">
        <f>INDEX('Correg (V1)'!$B:$B,MATCH($C268,'Correg (V1)'!$B:$B,0),1)</f>
        <v>R4251279-M3004909-</v>
      </c>
      <c r="B268" s="3" t="str">
        <f>INDEX('Nueva (V11)'!$B:$B,MATCH($C268,'Nueva (V11)'!$B:$B,0),1)</f>
        <v>R4251279-M3004909-</v>
      </c>
      <c r="C268" s="3" t="str">
        <f>_xlfn.TEXTJOIN("-",FALSE,$D268,$J268,$K268)</f>
        <v>R4251279-M3004909-</v>
      </c>
      <c r="D268" s="2" t="s">
        <v>108</v>
      </c>
      <c r="E268" s="2" t="s">
        <v>109</v>
      </c>
      <c r="F268" s="2" t="s">
        <v>110</v>
      </c>
      <c r="G268" s="2" t="s">
        <v>111</v>
      </c>
      <c r="H268" s="2" t="s">
        <v>2076</v>
      </c>
      <c r="I268" s="2" t="s">
        <v>112</v>
      </c>
      <c r="J268" s="2" t="s">
        <v>317</v>
      </c>
      <c r="K268" s="2"/>
      <c r="L268" s="2" t="s">
        <v>2077</v>
      </c>
      <c r="M268" s="2" t="s">
        <v>318</v>
      </c>
      <c r="N268" s="2"/>
      <c r="O268" s="2" t="s">
        <v>319</v>
      </c>
      <c r="P268" s="2"/>
      <c r="Q268" s="2"/>
      <c r="R268" s="2"/>
      <c r="S268" s="2"/>
      <c r="T268" s="2"/>
      <c r="U268" s="2" t="s">
        <v>2041</v>
      </c>
    </row>
    <row r="269" spans="1:21" ht="45" hidden="1" x14ac:dyDescent="0.25">
      <c r="A269" s="3" t="str">
        <f>INDEX('Correg (V1)'!$B:$B,MATCH($C269,'Correg (V1)'!$B:$B,0),1)</f>
        <v>R4251279-M4552646-</v>
      </c>
      <c r="B269" s="3" t="str">
        <f>INDEX('Nueva (V11)'!$B:$B,MATCH($C269,'Nueva (V11)'!$B:$B,0),1)</f>
        <v>R4251279-M4552646-</v>
      </c>
      <c r="C269" s="3" t="str">
        <f>_xlfn.TEXTJOIN("-",FALSE,$D269,$J269,$K269)</f>
        <v>R4251279-M4552646-</v>
      </c>
      <c r="D269" s="2" t="s">
        <v>108</v>
      </c>
      <c r="E269" s="2" t="s">
        <v>109</v>
      </c>
      <c r="F269" s="2" t="s">
        <v>110</v>
      </c>
      <c r="G269" s="2" t="s">
        <v>111</v>
      </c>
      <c r="H269" s="2" t="s">
        <v>2076</v>
      </c>
      <c r="I269" s="2" t="s">
        <v>112</v>
      </c>
      <c r="J269" s="2" t="s">
        <v>365</v>
      </c>
      <c r="K269" s="2"/>
      <c r="L269" s="2" t="s">
        <v>2077</v>
      </c>
      <c r="M269" s="2" t="s">
        <v>366</v>
      </c>
      <c r="N269" s="2"/>
      <c r="O269" s="2" t="s">
        <v>367</v>
      </c>
      <c r="P269" s="2"/>
      <c r="Q269" s="2"/>
      <c r="R269" s="2"/>
      <c r="S269" s="2"/>
      <c r="T269" s="2"/>
      <c r="U269" s="2" t="s">
        <v>2041</v>
      </c>
    </row>
    <row r="270" spans="1:21" ht="45" hidden="1" x14ac:dyDescent="0.25">
      <c r="A270" s="3" t="str">
        <f>INDEX('Correg (V1)'!$B:$B,MATCH($C270,'Correg (V1)'!$B:$B,0),1)</f>
        <v>R4251279-M4832835-</v>
      </c>
      <c r="B270" s="3" t="str">
        <f>INDEX('Nueva (V11)'!$B:$B,MATCH($C270,'Nueva (V11)'!$B:$B,0),1)</f>
        <v>R4251279-M4832835-</v>
      </c>
      <c r="C270" s="3" t="str">
        <f>_xlfn.TEXTJOIN("-",FALSE,$D270,$J270,$K270)</f>
        <v>R4251279-M4832835-</v>
      </c>
      <c r="D270" s="2" t="s">
        <v>108</v>
      </c>
      <c r="E270" s="2" t="s">
        <v>109</v>
      </c>
      <c r="F270" s="2" t="s">
        <v>110</v>
      </c>
      <c r="G270" s="2" t="s">
        <v>111</v>
      </c>
      <c r="H270" s="2" t="s">
        <v>2076</v>
      </c>
      <c r="I270" s="2" t="s">
        <v>112</v>
      </c>
      <c r="J270" s="2" t="s">
        <v>228</v>
      </c>
      <c r="K270" s="2"/>
      <c r="L270" s="2" t="s">
        <v>2077</v>
      </c>
      <c r="M270" s="2" t="s">
        <v>229</v>
      </c>
      <c r="N270" s="2"/>
      <c r="O270" s="2" t="s">
        <v>128</v>
      </c>
      <c r="P270" s="2"/>
      <c r="Q270" s="2"/>
      <c r="R270" s="2"/>
      <c r="S270" s="2"/>
      <c r="T270" s="2"/>
      <c r="U270" s="2" t="s">
        <v>2041</v>
      </c>
    </row>
    <row r="271" spans="1:21" ht="45" hidden="1" x14ac:dyDescent="0.25">
      <c r="A271" s="3" t="str">
        <f>INDEX('Correg (V1)'!$B:$B,MATCH($C271,'Correg (V1)'!$B:$B,0),1)</f>
        <v>R4251279-M5348426-</v>
      </c>
      <c r="B271" s="3" t="str">
        <f>INDEX('Nueva (V11)'!$B:$B,MATCH($C271,'Nueva (V11)'!$B:$B,0),1)</f>
        <v>R4251279-M5348426-</v>
      </c>
      <c r="C271" s="3" t="str">
        <f>_xlfn.TEXTJOIN("-",FALSE,$D271,$J271,$K271)</f>
        <v>R4251279-M5348426-</v>
      </c>
      <c r="D271" s="2" t="s">
        <v>108</v>
      </c>
      <c r="E271" s="2" t="s">
        <v>109</v>
      </c>
      <c r="F271" s="2" t="s">
        <v>110</v>
      </c>
      <c r="G271" s="2" t="s">
        <v>111</v>
      </c>
      <c r="H271" s="2" t="s">
        <v>2076</v>
      </c>
      <c r="I271" s="2" t="s">
        <v>112</v>
      </c>
      <c r="J271" s="2" t="s">
        <v>152</v>
      </c>
      <c r="K271" s="2"/>
      <c r="L271" s="2" t="s">
        <v>2077</v>
      </c>
      <c r="M271" s="2" t="s">
        <v>153</v>
      </c>
      <c r="N271" s="2"/>
      <c r="O271" s="2" t="s">
        <v>154</v>
      </c>
      <c r="P271" s="2"/>
      <c r="Q271" s="2"/>
      <c r="R271" s="2"/>
      <c r="S271" s="2"/>
      <c r="T271" s="2"/>
      <c r="U271" s="2" t="s">
        <v>2041</v>
      </c>
    </row>
    <row r="272" spans="1:21" ht="45" hidden="1" x14ac:dyDescent="0.25">
      <c r="A272" s="3" t="str">
        <f>INDEX('Correg (V1)'!$B:$B,MATCH($C272,'Correg (V1)'!$B:$B,0),1)</f>
        <v>R4251279-M5626688-</v>
      </c>
      <c r="B272" s="3" t="str">
        <f>INDEX('Nueva (V11)'!$B:$B,MATCH($C272,'Nueva (V11)'!$B:$B,0),1)</f>
        <v>R4251279-M5626688-</v>
      </c>
      <c r="C272" s="3" t="str">
        <f>_xlfn.TEXTJOIN("-",FALSE,$D272,$J272,$K272)</f>
        <v>R4251279-M5626688-</v>
      </c>
      <c r="D272" s="2" t="s">
        <v>108</v>
      </c>
      <c r="E272" s="2" t="s">
        <v>109</v>
      </c>
      <c r="F272" s="2" t="s">
        <v>110</v>
      </c>
      <c r="G272" s="2" t="s">
        <v>111</v>
      </c>
      <c r="H272" s="2" t="s">
        <v>2076</v>
      </c>
      <c r="I272" s="2" t="s">
        <v>112</v>
      </c>
      <c r="J272" s="2" t="s">
        <v>332</v>
      </c>
      <c r="K272" s="2"/>
      <c r="L272" s="2" t="s">
        <v>2077</v>
      </c>
      <c r="M272" s="2" t="s">
        <v>333</v>
      </c>
      <c r="N272" s="2"/>
      <c r="O272" s="2" t="s">
        <v>334</v>
      </c>
      <c r="P272" s="2"/>
      <c r="Q272" s="2"/>
      <c r="R272" s="2"/>
      <c r="S272" s="2"/>
      <c r="T272" s="2"/>
      <c r="U272" s="2" t="s">
        <v>2041</v>
      </c>
    </row>
    <row r="273" spans="1:21" ht="45" hidden="1" x14ac:dyDescent="0.25">
      <c r="A273" s="3" t="str">
        <f>INDEX('Correg (V1)'!$B:$B,MATCH($C273,'Correg (V1)'!$B:$B,0),1)</f>
        <v>R4251279-M6004094-</v>
      </c>
      <c r="B273" s="3" t="str">
        <f>INDEX('Nueva (V11)'!$B:$B,MATCH($C273,'Nueva (V11)'!$B:$B,0),1)</f>
        <v>R4251279-M6004094-</v>
      </c>
      <c r="C273" s="3" t="str">
        <f>_xlfn.TEXTJOIN("-",FALSE,$D273,$J273,$K273)</f>
        <v>R4251279-M6004094-</v>
      </c>
      <c r="D273" s="2" t="s">
        <v>108</v>
      </c>
      <c r="E273" s="2" t="s">
        <v>109</v>
      </c>
      <c r="F273" s="2" t="s">
        <v>110</v>
      </c>
      <c r="G273" s="2" t="s">
        <v>111</v>
      </c>
      <c r="H273" s="2" t="s">
        <v>2076</v>
      </c>
      <c r="I273" s="2" t="s">
        <v>112</v>
      </c>
      <c r="J273" s="2" t="s">
        <v>279</v>
      </c>
      <c r="K273" s="2"/>
      <c r="L273" s="2" t="s">
        <v>2077</v>
      </c>
      <c r="M273" s="2" t="s">
        <v>280</v>
      </c>
      <c r="N273" s="2"/>
      <c r="O273" s="2" t="s">
        <v>281</v>
      </c>
      <c r="P273" s="2"/>
      <c r="Q273" s="2"/>
      <c r="R273" s="2"/>
      <c r="S273" s="2"/>
      <c r="T273" s="2"/>
      <c r="U273" s="2" t="s">
        <v>2041</v>
      </c>
    </row>
    <row r="274" spans="1:21" ht="45" hidden="1" x14ac:dyDescent="0.25">
      <c r="A274" s="3" t="str">
        <f>INDEX('Correg (V1)'!$B:$B,MATCH($C274,'Correg (V1)'!$B:$B,0),1)</f>
        <v>R4251279-M6288357-</v>
      </c>
      <c r="B274" s="3" t="str">
        <f>INDEX('Nueva (V11)'!$B:$B,MATCH($C274,'Nueva (V11)'!$B:$B,0),1)</f>
        <v>R4251279-M6288357-</v>
      </c>
      <c r="C274" s="3" t="str">
        <f>_xlfn.TEXTJOIN("-",FALSE,$D274,$J274,$K274)</f>
        <v>R4251279-M6288357-</v>
      </c>
      <c r="D274" s="2" t="s">
        <v>108</v>
      </c>
      <c r="E274" s="2" t="s">
        <v>109</v>
      </c>
      <c r="F274" s="2" t="s">
        <v>110</v>
      </c>
      <c r="G274" s="2" t="s">
        <v>111</v>
      </c>
      <c r="H274" s="2" t="s">
        <v>2076</v>
      </c>
      <c r="I274" s="2" t="s">
        <v>112</v>
      </c>
      <c r="J274" s="2" t="s">
        <v>312</v>
      </c>
      <c r="K274" s="2"/>
      <c r="L274" s="2" t="s">
        <v>2077</v>
      </c>
      <c r="M274" s="2" t="s">
        <v>313</v>
      </c>
      <c r="N274" s="2"/>
      <c r="O274" s="2" t="s">
        <v>314</v>
      </c>
      <c r="P274" s="2"/>
      <c r="Q274" s="2"/>
      <c r="R274" s="2"/>
      <c r="S274" s="2"/>
      <c r="T274" s="2"/>
      <c r="U274" s="2" t="s">
        <v>2041</v>
      </c>
    </row>
    <row r="275" spans="1:21" ht="45" hidden="1" x14ac:dyDescent="0.25">
      <c r="A275" s="3" t="str">
        <f>INDEX('Correg (V1)'!$B:$B,MATCH($C275,'Correg (V1)'!$B:$B,0),1)</f>
        <v>R4251279-M6316752-</v>
      </c>
      <c r="B275" s="3" t="str">
        <f>INDEX('Nueva (V11)'!$B:$B,MATCH($C275,'Nueva (V11)'!$B:$B,0),1)</f>
        <v>R4251279-M6316752-</v>
      </c>
      <c r="C275" s="3" t="str">
        <f>_xlfn.TEXTJOIN("-",FALSE,$D275,$J275,$K275)</f>
        <v>R4251279-M6316752-</v>
      </c>
      <c r="D275" s="2" t="s">
        <v>108</v>
      </c>
      <c r="E275" s="2" t="s">
        <v>109</v>
      </c>
      <c r="F275" s="2" t="s">
        <v>110</v>
      </c>
      <c r="G275" s="2" t="s">
        <v>111</v>
      </c>
      <c r="H275" s="2" t="s">
        <v>2076</v>
      </c>
      <c r="I275" s="2" t="s">
        <v>112</v>
      </c>
      <c r="J275" s="2" t="s">
        <v>340</v>
      </c>
      <c r="K275" s="2"/>
      <c r="L275" s="2" t="s">
        <v>2077</v>
      </c>
      <c r="M275" s="2" t="s">
        <v>280</v>
      </c>
      <c r="N275" s="2"/>
      <c r="O275" s="2" t="s">
        <v>341</v>
      </c>
      <c r="P275" s="2"/>
      <c r="Q275" s="2"/>
      <c r="R275" s="2"/>
      <c r="S275" s="2"/>
      <c r="T275" s="2"/>
      <c r="U275" s="2" t="s">
        <v>2041</v>
      </c>
    </row>
    <row r="276" spans="1:21" ht="45" hidden="1" x14ac:dyDescent="0.25">
      <c r="A276" s="3" t="str">
        <f>INDEX('Correg (V1)'!$B:$B,MATCH($C276,'Correg (V1)'!$B:$B,0),1)</f>
        <v>R4251279-M6344770-</v>
      </c>
      <c r="B276" s="3" t="str">
        <f>INDEX('Nueva (V11)'!$B:$B,MATCH($C276,'Nueva (V11)'!$B:$B,0),1)</f>
        <v>R4251279-M6344770-</v>
      </c>
      <c r="C276" s="3" t="str">
        <f>_xlfn.TEXTJOIN("-",FALSE,$D276,$J276,$K276)</f>
        <v>R4251279-M6344770-</v>
      </c>
      <c r="D276" s="2" t="s">
        <v>108</v>
      </c>
      <c r="E276" s="2" t="s">
        <v>109</v>
      </c>
      <c r="F276" s="2" t="s">
        <v>110</v>
      </c>
      <c r="G276" s="2" t="s">
        <v>111</v>
      </c>
      <c r="H276" s="2" t="s">
        <v>2076</v>
      </c>
      <c r="I276" s="2" t="s">
        <v>112</v>
      </c>
      <c r="J276" s="2" t="s">
        <v>335</v>
      </c>
      <c r="K276" s="2"/>
      <c r="L276" s="2" t="s">
        <v>2077</v>
      </c>
      <c r="M276" s="2" t="s">
        <v>336</v>
      </c>
      <c r="N276" s="2"/>
      <c r="O276" s="2" t="s">
        <v>337</v>
      </c>
      <c r="P276" s="2"/>
      <c r="Q276" s="2"/>
      <c r="R276" s="2"/>
      <c r="S276" s="2"/>
      <c r="T276" s="2"/>
      <c r="U276" s="2" t="s">
        <v>2041</v>
      </c>
    </row>
    <row r="277" spans="1:21" ht="45" hidden="1" x14ac:dyDescent="0.25">
      <c r="A277" s="3" t="str">
        <f>INDEX('Correg (V1)'!$B:$B,MATCH($C277,'Correg (V1)'!$B:$B,0),1)</f>
        <v>R4251279-M6644909-</v>
      </c>
      <c r="B277" s="3" t="str">
        <f>INDEX('Nueva (V11)'!$B:$B,MATCH($C277,'Nueva (V11)'!$B:$B,0),1)</f>
        <v>R4251279-M6644909-</v>
      </c>
      <c r="C277" s="3" t="str">
        <f>_xlfn.TEXTJOIN("-",FALSE,$D277,$J277,$K277)</f>
        <v>R4251279-M6644909-</v>
      </c>
      <c r="D277" s="2" t="s">
        <v>108</v>
      </c>
      <c r="E277" s="2" t="s">
        <v>109</v>
      </c>
      <c r="F277" s="2" t="s">
        <v>110</v>
      </c>
      <c r="G277" s="2" t="s">
        <v>111</v>
      </c>
      <c r="H277" s="2" t="s">
        <v>2076</v>
      </c>
      <c r="I277" s="2" t="s">
        <v>112</v>
      </c>
      <c r="J277" s="2" t="s">
        <v>282</v>
      </c>
      <c r="K277" s="2"/>
      <c r="L277" s="2" t="s">
        <v>2077</v>
      </c>
      <c r="M277" s="2" t="s">
        <v>283</v>
      </c>
      <c r="N277" s="2"/>
      <c r="O277" s="2" t="s">
        <v>284</v>
      </c>
      <c r="P277" s="2"/>
      <c r="Q277" s="2"/>
      <c r="R277" s="2"/>
      <c r="S277" s="2"/>
      <c r="T277" s="2"/>
      <c r="U277" s="2" t="s">
        <v>2041</v>
      </c>
    </row>
    <row r="278" spans="1:21" ht="45" hidden="1" x14ac:dyDescent="0.25">
      <c r="A278" s="3" t="str">
        <f>INDEX('Correg (V1)'!$B:$B,MATCH($C278,'Correg (V1)'!$B:$B,0),1)</f>
        <v>R4251279-M6894777-</v>
      </c>
      <c r="B278" s="3" t="str">
        <f>INDEX('Nueva (V11)'!$B:$B,MATCH($C278,'Nueva (V11)'!$B:$B,0),1)</f>
        <v>R4251279-M6894777-</v>
      </c>
      <c r="C278" s="3" t="str">
        <f>_xlfn.TEXTJOIN("-",FALSE,$D278,$J278,$K278)</f>
        <v>R4251279-M6894777-</v>
      </c>
      <c r="D278" s="2" t="s">
        <v>108</v>
      </c>
      <c r="E278" s="2" t="s">
        <v>109</v>
      </c>
      <c r="F278" s="2" t="s">
        <v>110</v>
      </c>
      <c r="G278" s="2" t="s">
        <v>111</v>
      </c>
      <c r="H278" s="2" t="s">
        <v>2076</v>
      </c>
      <c r="I278" s="2" t="s">
        <v>112</v>
      </c>
      <c r="J278" s="2" t="s">
        <v>184</v>
      </c>
      <c r="K278" s="2"/>
      <c r="L278" s="2" t="s">
        <v>2077</v>
      </c>
      <c r="M278" s="2" t="s">
        <v>185</v>
      </c>
      <c r="N278" s="2"/>
      <c r="O278" s="2" t="s">
        <v>186</v>
      </c>
      <c r="P278" s="2"/>
      <c r="Q278" s="2"/>
      <c r="R278" s="2"/>
      <c r="S278" s="2"/>
      <c r="T278" s="2"/>
      <c r="U278" s="2" t="s">
        <v>2041</v>
      </c>
    </row>
    <row r="279" spans="1:21" ht="45" hidden="1" x14ac:dyDescent="0.25">
      <c r="A279" s="3" t="str">
        <f>INDEX('Correg (V1)'!$B:$B,MATCH($C279,'Correg (V1)'!$B:$B,0),1)</f>
        <v>R4251279-M8014566-</v>
      </c>
      <c r="B279" s="3" t="str">
        <f>INDEX('Nueva (V11)'!$B:$B,MATCH($C279,'Nueva (V11)'!$B:$B,0),1)</f>
        <v>R4251279-M8014566-</v>
      </c>
      <c r="C279" s="3" t="str">
        <f>_xlfn.TEXTJOIN("-",FALSE,$D279,$J279,$K279)</f>
        <v>R4251279-M8014566-</v>
      </c>
      <c r="D279" s="2" t="s">
        <v>108</v>
      </c>
      <c r="E279" s="2" t="s">
        <v>109</v>
      </c>
      <c r="F279" s="2" t="s">
        <v>110</v>
      </c>
      <c r="G279" s="2" t="s">
        <v>111</v>
      </c>
      <c r="H279" s="2" t="s">
        <v>2076</v>
      </c>
      <c r="I279" s="2" t="s">
        <v>112</v>
      </c>
      <c r="J279" s="2" t="s">
        <v>137</v>
      </c>
      <c r="K279" s="2"/>
      <c r="L279" s="2" t="s">
        <v>2077</v>
      </c>
      <c r="M279" s="2" t="s">
        <v>138</v>
      </c>
      <c r="N279" s="2"/>
      <c r="O279" s="2" t="s">
        <v>139</v>
      </c>
      <c r="P279" s="2"/>
      <c r="Q279" s="2"/>
      <c r="R279" s="2"/>
      <c r="S279" s="2"/>
      <c r="T279" s="2"/>
      <c r="U279" s="2" t="s">
        <v>2041</v>
      </c>
    </row>
    <row r="280" spans="1:21" ht="45" hidden="1" x14ac:dyDescent="0.25">
      <c r="A280" s="3" t="str">
        <f>INDEX('Correg (V1)'!$B:$B,MATCH($C280,'Correg (V1)'!$B:$B,0),1)</f>
        <v>R4251279-M8170346-</v>
      </c>
      <c r="B280" s="3" t="str">
        <f>INDEX('Nueva (V11)'!$B:$B,MATCH($C280,'Nueva (V11)'!$B:$B,0),1)</f>
        <v>R4251279-M8170346-</v>
      </c>
      <c r="C280" s="3" t="str">
        <f>_xlfn.TEXTJOIN("-",FALSE,$D280,$J280,$K280)</f>
        <v>R4251279-M8170346-</v>
      </c>
      <c r="D280" s="2" t="s">
        <v>108</v>
      </c>
      <c r="E280" s="2" t="s">
        <v>109</v>
      </c>
      <c r="F280" s="2" t="s">
        <v>110</v>
      </c>
      <c r="G280" s="2" t="s">
        <v>111</v>
      </c>
      <c r="H280" s="2" t="s">
        <v>2076</v>
      </c>
      <c r="I280" s="2" t="s">
        <v>112</v>
      </c>
      <c r="J280" s="2" t="s">
        <v>396</v>
      </c>
      <c r="K280" s="2"/>
      <c r="L280" s="2" t="s">
        <v>2077</v>
      </c>
      <c r="M280" s="2" t="s">
        <v>397</v>
      </c>
      <c r="N280" s="2"/>
      <c r="O280" s="2" t="s">
        <v>398</v>
      </c>
      <c r="P280" s="2"/>
      <c r="Q280" s="2"/>
      <c r="R280" s="2"/>
      <c r="S280" s="2"/>
      <c r="T280" s="2"/>
      <c r="U280" s="2" t="s">
        <v>2041</v>
      </c>
    </row>
    <row r="281" spans="1:21" ht="45" hidden="1" x14ac:dyDescent="0.25">
      <c r="A281" s="3" t="str">
        <f>INDEX('Correg (V1)'!$B:$B,MATCH($C281,'Correg (V1)'!$B:$B,0),1)</f>
        <v>R4251279-M8491500-</v>
      </c>
      <c r="B281" s="3" t="str">
        <f>INDEX('Nueva (V11)'!$B:$B,MATCH($C281,'Nueva (V11)'!$B:$B,0),1)</f>
        <v>R4251279-M8491500-</v>
      </c>
      <c r="C281" s="3" t="str">
        <f>_xlfn.TEXTJOIN("-",FALSE,$D281,$J281,$K281)</f>
        <v>R4251279-M8491500-</v>
      </c>
      <c r="D281" s="2" t="s">
        <v>108</v>
      </c>
      <c r="E281" s="2" t="s">
        <v>109</v>
      </c>
      <c r="F281" s="2" t="s">
        <v>110</v>
      </c>
      <c r="G281" s="2" t="s">
        <v>111</v>
      </c>
      <c r="H281" s="2" t="s">
        <v>2076</v>
      </c>
      <c r="I281" s="2" t="s">
        <v>112</v>
      </c>
      <c r="J281" s="2" t="s">
        <v>140</v>
      </c>
      <c r="K281" s="2"/>
      <c r="L281" s="2" t="s">
        <v>2077</v>
      </c>
      <c r="M281" s="2" t="s">
        <v>141</v>
      </c>
      <c r="N281" s="2"/>
      <c r="O281" s="2" t="s">
        <v>142</v>
      </c>
      <c r="P281" s="2"/>
      <c r="Q281" s="2"/>
      <c r="R281" s="2"/>
      <c r="S281" s="2"/>
      <c r="T281" s="2"/>
      <c r="U281" s="2" t="s">
        <v>2041</v>
      </c>
    </row>
    <row r="282" spans="1:21" ht="45" hidden="1" x14ac:dyDescent="0.25">
      <c r="A282" s="3" t="str">
        <f>INDEX('Correg (V1)'!$B:$B,MATCH($C282,'Correg (V1)'!$B:$B,0),1)</f>
        <v>R4251279-M9205867-</v>
      </c>
      <c r="B282" s="3" t="str">
        <f>INDEX('Nueva (V11)'!$B:$B,MATCH($C282,'Nueva (V11)'!$B:$B,0),1)</f>
        <v>R4251279-M9205867-</v>
      </c>
      <c r="C282" s="3" t="str">
        <f>_xlfn.TEXTJOIN("-",FALSE,$D282,$J282,$K282)</f>
        <v>R4251279-M9205867-</v>
      </c>
      <c r="D282" s="2" t="s">
        <v>108</v>
      </c>
      <c r="E282" s="2" t="s">
        <v>109</v>
      </c>
      <c r="F282" s="2" t="s">
        <v>110</v>
      </c>
      <c r="G282" s="2" t="s">
        <v>111</v>
      </c>
      <c r="H282" s="2" t="s">
        <v>2076</v>
      </c>
      <c r="I282" s="2" t="s">
        <v>112</v>
      </c>
      <c r="J282" s="2" t="s">
        <v>190</v>
      </c>
      <c r="K282" s="2"/>
      <c r="L282" s="2" t="s">
        <v>2077</v>
      </c>
      <c r="M282" s="2" t="s">
        <v>191</v>
      </c>
      <c r="N282" s="2"/>
      <c r="O282" s="2" t="s">
        <v>192</v>
      </c>
      <c r="P282" s="2"/>
      <c r="Q282" s="2"/>
      <c r="R282" s="2"/>
      <c r="S282" s="2"/>
      <c r="T282" s="2"/>
      <c r="U282" s="2" t="s">
        <v>2041</v>
      </c>
    </row>
    <row r="283" spans="1:21" ht="45" hidden="1" x14ac:dyDescent="0.25">
      <c r="A283" s="3" t="str">
        <f>INDEX('Correg (V1)'!$B:$B,MATCH($C283,'Correg (V1)'!$B:$B,0),1)</f>
        <v>R4251279-M9411528-</v>
      </c>
      <c r="B283" s="3" t="str">
        <f>INDEX('Nueva (V11)'!$B:$B,MATCH($C283,'Nueva (V11)'!$B:$B,0),1)</f>
        <v>R4251279-M9411528-</v>
      </c>
      <c r="C283" s="3" t="str">
        <f>_xlfn.TEXTJOIN("-",FALSE,$D283,$J283,$K283)</f>
        <v>R4251279-M9411528-</v>
      </c>
      <c r="D283" s="2" t="s">
        <v>108</v>
      </c>
      <c r="E283" s="2" t="s">
        <v>109</v>
      </c>
      <c r="F283" s="2" t="s">
        <v>110</v>
      </c>
      <c r="G283" s="2" t="s">
        <v>111</v>
      </c>
      <c r="H283" s="2" t="s">
        <v>2076</v>
      </c>
      <c r="I283" s="2" t="s">
        <v>112</v>
      </c>
      <c r="J283" s="2" t="s">
        <v>399</v>
      </c>
      <c r="K283" s="2"/>
      <c r="L283" s="2" t="s">
        <v>2077</v>
      </c>
      <c r="M283" s="2" t="s">
        <v>313</v>
      </c>
      <c r="N283" s="2"/>
      <c r="O283" s="2" t="s">
        <v>400</v>
      </c>
      <c r="P283" s="2"/>
      <c r="Q283" s="2"/>
      <c r="R283" s="2"/>
      <c r="S283" s="2"/>
      <c r="T283" s="2"/>
      <c r="U283" s="2" t="s">
        <v>2041</v>
      </c>
    </row>
    <row r="284" spans="1:21" ht="45" hidden="1" x14ac:dyDescent="0.25">
      <c r="A284" s="3" t="str">
        <f>INDEX('Correg (V1)'!$B:$B,MATCH($C284,'Correg (V1)'!$B:$B,0),1)</f>
        <v>R4251279-M9949088-</v>
      </c>
      <c r="B284" s="3" t="str">
        <f>INDEX('Nueva (V11)'!$B:$B,MATCH($C284,'Nueva (V11)'!$B:$B,0),1)</f>
        <v>R4251279-M9949088-</v>
      </c>
      <c r="C284" s="3" t="str">
        <f>_xlfn.TEXTJOIN("-",FALSE,$D284,$J284,$K284)</f>
        <v>R4251279-M9949088-</v>
      </c>
      <c r="D284" s="2" t="s">
        <v>108</v>
      </c>
      <c r="E284" s="2" t="s">
        <v>109</v>
      </c>
      <c r="F284" s="2" t="s">
        <v>110</v>
      </c>
      <c r="G284" s="2" t="s">
        <v>111</v>
      </c>
      <c r="H284" s="2" t="s">
        <v>2076</v>
      </c>
      <c r="I284" s="2" t="s">
        <v>112</v>
      </c>
      <c r="J284" s="2" t="s">
        <v>323</v>
      </c>
      <c r="K284" s="2"/>
      <c r="L284" s="2" t="s">
        <v>2077</v>
      </c>
      <c r="M284" s="2" t="s">
        <v>324</v>
      </c>
      <c r="N284" s="2"/>
      <c r="O284" s="2" t="s">
        <v>325</v>
      </c>
      <c r="P284" s="2"/>
      <c r="Q284" s="2"/>
      <c r="R284" s="2"/>
      <c r="S284" s="2"/>
      <c r="T284" s="2"/>
      <c r="U284" s="2" t="s">
        <v>2041</v>
      </c>
    </row>
    <row r="285" spans="1:21" ht="45" hidden="1" x14ac:dyDescent="0.25">
      <c r="A285" s="3" t="str">
        <f>INDEX('Correg (V1)'!$B:$B,MATCH($C285,'Correg (V1)'!$B:$B,0),1)</f>
        <v>R4251279-N4158968-</v>
      </c>
      <c r="B285" s="3" t="str">
        <f>INDEX('Nueva (V11)'!$B:$B,MATCH($C285,'Nueva (V11)'!$B:$B,0),1)</f>
        <v>R4251279-N4158968-</v>
      </c>
      <c r="C285" s="3" t="str">
        <f>_xlfn.TEXTJOIN("-",FALSE,$D285,$J285,$K285)</f>
        <v>R4251279-N4158968-</v>
      </c>
      <c r="D285" s="2" t="s">
        <v>108</v>
      </c>
      <c r="E285" s="2" t="s">
        <v>109</v>
      </c>
      <c r="F285" s="2" t="s">
        <v>110</v>
      </c>
      <c r="G285" s="2" t="s">
        <v>111</v>
      </c>
      <c r="H285" s="2" t="s">
        <v>2076</v>
      </c>
      <c r="I285" s="2" t="s">
        <v>112</v>
      </c>
      <c r="J285" s="2" t="s">
        <v>223</v>
      </c>
      <c r="K285" s="2"/>
      <c r="L285" s="2" t="s">
        <v>2077</v>
      </c>
      <c r="M285" s="2" t="s">
        <v>224</v>
      </c>
      <c r="N285" s="2"/>
      <c r="O285" s="2" t="s">
        <v>16</v>
      </c>
      <c r="P285" s="2"/>
      <c r="Q285" s="2"/>
      <c r="R285" s="2"/>
      <c r="S285" s="2"/>
      <c r="T285" s="2"/>
      <c r="U285" s="2" t="s">
        <v>2041</v>
      </c>
    </row>
    <row r="286" spans="1:21" ht="45" hidden="1" x14ac:dyDescent="0.25">
      <c r="A286" s="3" t="str">
        <f>INDEX('Correg (V1)'!$B:$B,MATCH($C286,'Correg (V1)'!$B:$B,0),1)</f>
        <v>R4251279-O0670575-</v>
      </c>
      <c r="B286" s="3" t="str">
        <f>INDEX('Nueva (V11)'!$B:$B,MATCH($C286,'Nueva (V11)'!$B:$B,0),1)</f>
        <v>R4251279-O0670575-</v>
      </c>
      <c r="C286" s="3" t="str">
        <f>_xlfn.TEXTJOIN("-",FALSE,$D286,$J286,$K286)</f>
        <v>R4251279-O0670575-</v>
      </c>
      <c r="D286" s="2" t="s">
        <v>108</v>
      </c>
      <c r="E286" s="2" t="s">
        <v>109</v>
      </c>
      <c r="F286" s="2" t="s">
        <v>110</v>
      </c>
      <c r="G286" s="2" t="s">
        <v>111</v>
      </c>
      <c r="H286" s="2" t="s">
        <v>2076</v>
      </c>
      <c r="I286" s="2" t="s">
        <v>112</v>
      </c>
      <c r="J286" s="2" t="s">
        <v>373</v>
      </c>
      <c r="K286" s="2"/>
      <c r="L286" s="2" t="s">
        <v>2077</v>
      </c>
      <c r="M286" s="2" t="s">
        <v>374</v>
      </c>
      <c r="N286" s="2"/>
      <c r="O286" s="2" t="s">
        <v>375</v>
      </c>
      <c r="P286" s="2"/>
      <c r="Q286" s="2"/>
      <c r="R286" s="2"/>
      <c r="S286" s="2"/>
      <c r="T286" s="2"/>
      <c r="U286" s="2" t="s">
        <v>2041</v>
      </c>
    </row>
    <row r="287" spans="1:21" ht="45" hidden="1" x14ac:dyDescent="0.25">
      <c r="A287" s="3" t="str">
        <f>INDEX('Correg (V1)'!$B:$B,MATCH($C287,'Correg (V1)'!$B:$B,0),1)</f>
        <v>R4251279-O2855831-</v>
      </c>
      <c r="B287" s="3" t="str">
        <f>INDEX('Nueva (V11)'!$B:$B,MATCH($C287,'Nueva (V11)'!$B:$B,0),1)</f>
        <v>R4251279-O2855831-</v>
      </c>
      <c r="C287" s="3" t="str">
        <f>_xlfn.TEXTJOIN("-",FALSE,$D287,$J287,$K287)</f>
        <v>R4251279-O2855831-</v>
      </c>
      <c r="D287" s="2" t="s">
        <v>108</v>
      </c>
      <c r="E287" s="2" t="s">
        <v>109</v>
      </c>
      <c r="F287" s="2" t="s">
        <v>110</v>
      </c>
      <c r="G287" s="2" t="s">
        <v>111</v>
      </c>
      <c r="H287" s="2" t="s">
        <v>2076</v>
      </c>
      <c r="I287" s="2" t="s">
        <v>112</v>
      </c>
      <c r="J287" s="2" t="s">
        <v>356</v>
      </c>
      <c r="K287" s="2"/>
      <c r="L287" s="2" t="s">
        <v>2077</v>
      </c>
      <c r="M287" s="2" t="s">
        <v>357</v>
      </c>
      <c r="N287" s="2"/>
      <c r="O287" s="2" t="s">
        <v>358</v>
      </c>
      <c r="P287" s="2"/>
      <c r="Q287" s="2"/>
      <c r="R287" s="2"/>
      <c r="S287" s="2"/>
      <c r="T287" s="2"/>
      <c r="U287" s="2" t="s">
        <v>2041</v>
      </c>
    </row>
    <row r="288" spans="1:21" ht="45" hidden="1" x14ac:dyDescent="0.25">
      <c r="A288" s="3" t="str">
        <f>INDEX('Correg (V1)'!$B:$B,MATCH($C288,'Correg (V1)'!$B:$B,0),1)</f>
        <v>R4251279-P1896415-</v>
      </c>
      <c r="B288" s="3" t="str">
        <f>INDEX('Nueva (V11)'!$B:$B,MATCH($C288,'Nueva (V11)'!$B:$B,0),1)</f>
        <v>R4251279-P1896415-</v>
      </c>
      <c r="C288" s="3" t="str">
        <f>_xlfn.TEXTJOIN("-",FALSE,$D288,$J288,$K288)</f>
        <v>R4251279-P1896415-</v>
      </c>
      <c r="D288" s="2" t="s">
        <v>108</v>
      </c>
      <c r="E288" s="2" t="s">
        <v>109</v>
      </c>
      <c r="F288" s="2" t="s">
        <v>110</v>
      </c>
      <c r="G288" s="2" t="s">
        <v>111</v>
      </c>
      <c r="H288" s="2" t="s">
        <v>2076</v>
      </c>
      <c r="I288" s="2" t="s">
        <v>112</v>
      </c>
      <c r="J288" s="2" t="s">
        <v>214</v>
      </c>
      <c r="K288" s="2"/>
      <c r="L288" s="2" t="s">
        <v>2077</v>
      </c>
      <c r="M288" s="2" t="s">
        <v>215</v>
      </c>
      <c r="N288" s="2"/>
      <c r="O288" s="2" t="s">
        <v>192</v>
      </c>
      <c r="P288" s="2"/>
      <c r="Q288" s="2"/>
      <c r="R288" s="2"/>
      <c r="S288" s="2"/>
      <c r="T288" s="2"/>
      <c r="U288" s="2" t="s">
        <v>2041</v>
      </c>
    </row>
    <row r="289" spans="1:21" ht="45" hidden="1" x14ac:dyDescent="0.25">
      <c r="A289" s="3" t="str">
        <f>INDEX('Correg (V1)'!$B:$B,MATCH($C289,'Correg (V1)'!$B:$B,0),1)</f>
        <v>R4251279-P3519097-</v>
      </c>
      <c r="B289" s="3" t="str">
        <f>INDEX('Nueva (V11)'!$B:$B,MATCH($C289,'Nueva (V11)'!$B:$B,0),1)</f>
        <v>R4251279-P3519097-</v>
      </c>
      <c r="C289" s="3" t="str">
        <f>_xlfn.TEXTJOIN("-",FALSE,$D289,$J289,$K289)</f>
        <v>R4251279-P3519097-</v>
      </c>
      <c r="D289" s="2" t="s">
        <v>108</v>
      </c>
      <c r="E289" s="2" t="s">
        <v>109</v>
      </c>
      <c r="F289" s="2" t="s">
        <v>110</v>
      </c>
      <c r="G289" s="2" t="s">
        <v>111</v>
      </c>
      <c r="H289" s="2" t="s">
        <v>2076</v>
      </c>
      <c r="I289" s="2" t="s">
        <v>112</v>
      </c>
      <c r="J289" s="2" t="s">
        <v>221</v>
      </c>
      <c r="K289" s="2"/>
      <c r="L289" s="2" t="s">
        <v>2077</v>
      </c>
      <c r="M289" s="2" t="s">
        <v>58</v>
      </c>
      <c r="N289" s="2"/>
      <c r="O289" s="2" t="s">
        <v>222</v>
      </c>
      <c r="P289" s="2"/>
      <c r="Q289" s="2"/>
      <c r="R289" s="2"/>
      <c r="S289" s="2"/>
      <c r="T289" s="2"/>
      <c r="U289" s="2" t="s">
        <v>2041</v>
      </c>
    </row>
    <row r="290" spans="1:21" ht="45" hidden="1" x14ac:dyDescent="0.25">
      <c r="A290" s="3" t="str">
        <f>INDEX('Correg (V1)'!$B:$B,MATCH($C290,'Correg (V1)'!$B:$B,0),1)</f>
        <v>R4251279-P3557786-</v>
      </c>
      <c r="B290" s="3" t="str">
        <f>INDEX('Nueva (V11)'!$B:$B,MATCH($C290,'Nueva (V11)'!$B:$B,0),1)</f>
        <v>R4251279-P3557786-</v>
      </c>
      <c r="C290" s="3" t="str">
        <f>_xlfn.TEXTJOIN("-",FALSE,$D290,$J290,$K290)</f>
        <v>R4251279-P3557786-</v>
      </c>
      <c r="D290" s="2" t="s">
        <v>108</v>
      </c>
      <c r="E290" s="2" t="s">
        <v>109</v>
      </c>
      <c r="F290" s="2" t="s">
        <v>110</v>
      </c>
      <c r="G290" s="2" t="s">
        <v>111</v>
      </c>
      <c r="H290" s="2" t="s">
        <v>2076</v>
      </c>
      <c r="I290" s="2" t="s">
        <v>112</v>
      </c>
      <c r="J290" s="2" t="s">
        <v>236</v>
      </c>
      <c r="K290" s="2"/>
      <c r="L290" s="2" t="s">
        <v>2077</v>
      </c>
      <c r="M290" s="2" t="s">
        <v>58</v>
      </c>
      <c r="N290" s="2"/>
      <c r="O290" s="2" t="s">
        <v>237</v>
      </c>
      <c r="P290" s="2"/>
      <c r="Q290" s="2"/>
      <c r="R290" s="2"/>
      <c r="S290" s="2"/>
      <c r="T290" s="2"/>
      <c r="U290" s="2" t="s">
        <v>2041</v>
      </c>
    </row>
    <row r="291" spans="1:21" ht="45" hidden="1" x14ac:dyDescent="0.25">
      <c r="A291" s="3" t="str">
        <f>INDEX('Correg (V1)'!$B:$B,MATCH($C291,'Correg (V1)'!$B:$B,0),1)</f>
        <v>R4251279-P3941386-</v>
      </c>
      <c r="B291" s="3" t="str">
        <f>INDEX('Nueva (V11)'!$B:$B,MATCH($C291,'Nueva (V11)'!$B:$B,0),1)</f>
        <v>R4251279-P3941386-</v>
      </c>
      <c r="C291" s="3" t="str">
        <f>_xlfn.TEXTJOIN("-",FALSE,$D291,$J291,$K291)</f>
        <v>R4251279-P3941386-</v>
      </c>
      <c r="D291" s="2" t="s">
        <v>108</v>
      </c>
      <c r="E291" s="2" t="s">
        <v>109</v>
      </c>
      <c r="F291" s="2" t="s">
        <v>110</v>
      </c>
      <c r="G291" s="2" t="s">
        <v>111</v>
      </c>
      <c r="H291" s="2" t="s">
        <v>2076</v>
      </c>
      <c r="I291" s="2" t="s">
        <v>112</v>
      </c>
      <c r="J291" s="2" t="s">
        <v>121</v>
      </c>
      <c r="K291" s="2"/>
      <c r="L291" s="2" t="s">
        <v>2077</v>
      </c>
      <c r="M291" s="2" t="s">
        <v>58</v>
      </c>
      <c r="N291" s="2"/>
      <c r="O291" s="2" t="s">
        <v>122</v>
      </c>
      <c r="P291" s="2"/>
      <c r="Q291" s="2"/>
      <c r="R291" s="2"/>
      <c r="S291" s="2"/>
      <c r="T291" s="2"/>
      <c r="U291" s="2" t="s">
        <v>2041</v>
      </c>
    </row>
    <row r="292" spans="1:21" ht="45" hidden="1" x14ac:dyDescent="0.25">
      <c r="A292" s="3" t="str">
        <f>INDEX('Correg (V1)'!$B:$B,MATCH($C292,'Correg (V1)'!$B:$B,0),1)</f>
        <v>R4251279-P4005378-</v>
      </c>
      <c r="B292" s="3" t="str">
        <f>INDEX('Nueva (V11)'!$B:$B,MATCH($C292,'Nueva (V11)'!$B:$B,0),1)</f>
        <v>R4251279-P4005378-</v>
      </c>
      <c r="C292" s="3" t="str">
        <f>_xlfn.TEXTJOIN("-",FALSE,$D292,$J292,$K292)</f>
        <v>R4251279-P4005378-</v>
      </c>
      <c r="D292" s="2" t="s">
        <v>108</v>
      </c>
      <c r="E292" s="2" t="s">
        <v>109</v>
      </c>
      <c r="F292" s="2" t="s">
        <v>110</v>
      </c>
      <c r="G292" s="2" t="s">
        <v>111</v>
      </c>
      <c r="H292" s="2" t="s">
        <v>2076</v>
      </c>
      <c r="I292" s="2" t="s">
        <v>112</v>
      </c>
      <c r="J292" s="2" t="s">
        <v>244</v>
      </c>
      <c r="K292" s="2"/>
      <c r="L292" s="2" t="s">
        <v>2077</v>
      </c>
      <c r="M292" s="2" t="s">
        <v>58</v>
      </c>
      <c r="N292" s="2"/>
      <c r="O292" s="2" t="s">
        <v>133</v>
      </c>
      <c r="P292" s="2"/>
      <c r="Q292" s="2"/>
      <c r="R292" s="2"/>
      <c r="S292" s="2"/>
      <c r="T292" s="2"/>
      <c r="U292" s="2" t="s">
        <v>2041</v>
      </c>
    </row>
    <row r="293" spans="1:21" ht="45" hidden="1" x14ac:dyDescent="0.25">
      <c r="A293" s="3" t="str">
        <f>INDEX('Correg (V1)'!$B:$B,MATCH($C293,'Correg (V1)'!$B:$B,0),1)</f>
        <v>R4251279-P6305250-</v>
      </c>
      <c r="B293" s="3" t="str">
        <f>INDEX('Nueva (V11)'!$B:$B,MATCH($C293,'Nueva (V11)'!$B:$B,0),1)</f>
        <v>R4251279-P6305250-</v>
      </c>
      <c r="C293" s="3" t="str">
        <f>_xlfn.TEXTJOIN("-",FALSE,$D293,$J293,$K293)</f>
        <v>R4251279-P6305250-</v>
      </c>
      <c r="D293" s="2" t="s">
        <v>108</v>
      </c>
      <c r="E293" s="2" t="s">
        <v>109</v>
      </c>
      <c r="F293" s="2" t="s">
        <v>110</v>
      </c>
      <c r="G293" s="2" t="s">
        <v>111</v>
      </c>
      <c r="H293" s="2" t="s">
        <v>2076</v>
      </c>
      <c r="I293" s="2" t="s">
        <v>112</v>
      </c>
      <c r="J293" s="2" t="s">
        <v>245</v>
      </c>
      <c r="K293" s="2"/>
      <c r="L293" s="2" t="s">
        <v>2077</v>
      </c>
      <c r="M293" s="2" t="s">
        <v>58</v>
      </c>
      <c r="N293" s="2"/>
      <c r="O293" s="2" t="s">
        <v>246</v>
      </c>
      <c r="P293" s="2"/>
      <c r="Q293" s="2"/>
      <c r="R293" s="2"/>
      <c r="S293" s="2"/>
      <c r="T293" s="2"/>
      <c r="U293" s="2" t="s">
        <v>2041</v>
      </c>
    </row>
    <row r="294" spans="1:21" ht="45" hidden="1" x14ac:dyDescent="0.25">
      <c r="A294" s="16" t="e">
        <f>INDEX('Correg (V1)'!$B:$B,MATCH($C294,'Correg (V1)'!$B:$B,0),1)</f>
        <v>#N/A</v>
      </c>
      <c r="B294" s="3" t="e">
        <f>INDEX('Nueva (V11)'!$B:$B,MATCH($C294,'Nueva (V11)'!$B:$B,0),1)</f>
        <v>#N/A</v>
      </c>
      <c r="C294" s="3" t="str">
        <f>_xlfn.TEXTJOIN("-",FALSE,$D294,$J294,$K294)</f>
        <v>R4251279-P8248920-</v>
      </c>
      <c r="D294" s="2" t="s">
        <v>108</v>
      </c>
      <c r="E294" s="2" t="s">
        <v>109</v>
      </c>
      <c r="F294" s="2" t="s">
        <v>110</v>
      </c>
      <c r="G294" s="2" t="s">
        <v>111</v>
      </c>
      <c r="H294" s="2" t="s">
        <v>2076</v>
      </c>
      <c r="I294" s="2" t="s">
        <v>112</v>
      </c>
      <c r="J294" s="2" t="s">
        <v>113</v>
      </c>
      <c r="K294" s="2"/>
      <c r="L294" s="2" t="s">
        <v>2077</v>
      </c>
      <c r="M294" s="2" t="s">
        <v>114</v>
      </c>
      <c r="N294" s="2"/>
      <c r="O294" s="2" t="s">
        <v>16</v>
      </c>
      <c r="P294" s="2"/>
      <c r="Q294" s="2"/>
      <c r="R294" s="2"/>
      <c r="S294" s="2"/>
      <c r="T294" s="2"/>
      <c r="U294" s="2" t="s">
        <v>2041</v>
      </c>
    </row>
    <row r="295" spans="1:21" ht="45" hidden="1" x14ac:dyDescent="0.25">
      <c r="A295" s="3" t="str">
        <f>INDEX('Correg (V1)'!$B:$B,MATCH($C295,'Correg (V1)'!$B:$B,0),1)</f>
        <v>R4251279-P8672352-</v>
      </c>
      <c r="B295" s="3" t="str">
        <f>INDEX('Nueva (V11)'!$B:$B,MATCH($C295,'Nueva (V11)'!$B:$B,0),1)</f>
        <v>R4251279-P8672352-</v>
      </c>
      <c r="C295" s="3" t="str">
        <f>_xlfn.TEXTJOIN("-",FALSE,$D295,$J295,$K295)</f>
        <v>R4251279-P8672352-</v>
      </c>
      <c r="D295" s="2" t="s">
        <v>108</v>
      </c>
      <c r="E295" s="2" t="s">
        <v>109</v>
      </c>
      <c r="F295" s="2" t="s">
        <v>110</v>
      </c>
      <c r="G295" s="2" t="s">
        <v>111</v>
      </c>
      <c r="H295" s="2" t="s">
        <v>2076</v>
      </c>
      <c r="I295" s="2" t="s">
        <v>112</v>
      </c>
      <c r="J295" s="2" t="s">
        <v>212</v>
      </c>
      <c r="K295" s="2"/>
      <c r="L295" s="2" t="s">
        <v>2077</v>
      </c>
      <c r="M295" s="2" t="s">
        <v>58</v>
      </c>
      <c r="N295" s="2"/>
      <c r="O295" s="2" t="s">
        <v>213</v>
      </c>
      <c r="P295" s="2"/>
      <c r="Q295" s="2"/>
      <c r="R295" s="2"/>
      <c r="S295" s="2"/>
      <c r="T295" s="2"/>
      <c r="U295" s="2" t="s">
        <v>2041</v>
      </c>
    </row>
    <row r="296" spans="1:21" ht="45" hidden="1" x14ac:dyDescent="0.25">
      <c r="A296" s="3" t="str">
        <f>INDEX('Correg (V1)'!$B:$B,MATCH($C296,'Correg (V1)'!$B:$B,0),1)</f>
        <v>R4251279-R0094445-</v>
      </c>
      <c r="B296" s="3" t="str">
        <f>INDEX('Nueva (V11)'!$B:$B,MATCH($C296,'Nueva (V11)'!$B:$B,0),1)</f>
        <v>R4251279-R0094445-</v>
      </c>
      <c r="C296" s="3" t="str">
        <f>_xlfn.TEXTJOIN("-",FALSE,$D296,$J296,$K296)</f>
        <v>R4251279-R0094445-</v>
      </c>
      <c r="D296" s="2" t="s">
        <v>108</v>
      </c>
      <c r="E296" s="2" t="s">
        <v>109</v>
      </c>
      <c r="F296" s="2" t="s">
        <v>110</v>
      </c>
      <c r="G296" s="2" t="s">
        <v>111</v>
      </c>
      <c r="H296" s="2" t="s">
        <v>2076</v>
      </c>
      <c r="I296" s="2" t="s">
        <v>112</v>
      </c>
      <c r="J296" s="2" t="s">
        <v>225</v>
      </c>
      <c r="K296" s="2"/>
      <c r="L296" s="2" t="s">
        <v>2077</v>
      </c>
      <c r="M296" s="2" t="s">
        <v>226</v>
      </c>
      <c r="N296" s="2"/>
      <c r="O296" s="2" t="s">
        <v>227</v>
      </c>
      <c r="P296" s="2"/>
      <c r="Q296" s="2"/>
      <c r="R296" s="2"/>
      <c r="S296" s="2"/>
      <c r="T296" s="2"/>
      <c r="U296" s="2" t="s">
        <v>2041</v>
      </c>
    </row>
    <row r="297" spans="1:21" ht="45" hidden="1" x14ac:dyDescent="0.25">
      <c r="A297" s="3" t="str">
        <f>INDEX('Correg (V1)'!$B:$B,MATCH($C297,'Correg (V1)'!$B:$B,0),1)</f>
        <v>R4251279-R0357636-</v>
      </c>
      <c r="B297" s="3" t="str">
        <f>INDEX('Nueva (V11)'!$B:$B,MATCH($C297,'Nueva (V11)'!$B:$B,0),1)</f>
        <v>R4251279-R0357636-</v>
      </c>
      <c r="C297" s="3" t="str">
        <f>_xlfn.TEXTJOIN("-",FALSE,$D297,$J297,$K297)</f>
        <v>R4251279-R0357636-</v>
      </c>
      <c r="D297" s="2" t="s">
        <v>108</v>
      </c>
      <c r="E297" s="2" t="s">
        <v>109</v>
      </c>
      <c r="F297" s="2" t="s">
        <v>110</v>
      </c>
      <c r="G297" s="2" t="s">
        <v>111</v>
      </c>
      <c r="H297" s="2" t="s">
        <v>2076</v>
      </c>
      <c r="I297" s="2" t="s">
        <v>112</v>
      </c>
      <c r="J297" s="2" t="s">
        <v>187</v>
      </c>
      <c r="K297" s="2"/>
      <c r="L297" s="2" t="s">
        <v>2077</v>
      </c>
      <c r="M297" s="2" t="s">
        <v>188</v>
      </c>
      <c r="N297" s="2"/>
      <c r="O297" s="2" t="s">
        <v>189</v>
      </c>
      <c r="P297" s="2"/>
      <c r="Q297" s="2"/>
      <c r="R297" s="2"/>
      <c r="S297" s="2"/>
      <c r="T297" s="2"/>
      <c r="U297" s="2" t="s">
        <v>2041</v>
      </c>
    </row>
    <row r="298" spans="1:21" ht="45" hidden="1" x14ac:dyDescent="0.25">
      <c r="A298" s="3" t="str">
        <f>INDEX('Correg (V1)'!$B:$B,MATCH($C298,'Correg (V1)'!$B:$B,0),1)</f>
        <v>R4251279-R2670272-</v>
      </c>
      <c r="B298" s="3" t="str">
        <f>INDEX('Nueva (V11)'!$B:$B,MATCH($C298,'Nueva (V11)'!$B:$B,0),1)</f>
        <v>R4251279-R2670272-</v>
      </c>
      <c r="C298" s="3" t="str">
        <f>_xlfn.TEXTJOIN("-",FALSE,$D298,$J298,$K298)</f>
        <v>R4251279-R2670272-</v>
      </c>
      <c r="D298" s="2" t="s">
        <v>108</v>
      </c>
      <c r="E298" s="2" t="s">
        <v>109</v>
      </c>
      <c r="F298" s="2" t="s">
        <v>110</v>
      </c>
      <c r="G298" s="2" t="s">
        <v>111</v>
      </c>
      <c r="H298" s="2" t="s">
        <v>2076</v>
      </c>
      <c r="I298" s="2" t="s">
        <v>112</v>
      </c>
      <c r="J298" s="2" t="s">
        <v>431</v>
      </c>
      <c r="K298" s="2"/>
      <c r="L298" s="2" t="s">
        <v>2077</v>
      </c>
      <c r="M298" s="2" t="s">
        <v>432</v>
      </c>
      <c r="N298" s="2"/>
      <c r="O298" s="2" t="s">
        <v>433</v>
      </c>
      <c r="P298" s="2"/>
      <c r="Q298" s="2"/>
      <c r="R298" s="2"/>
      <c r="S298" s="2"/>
      <c r="T298" s="2"/>
      <c r="U298" s="2" t="s">
        <v>2041</v>
      </c>
    </row>
    <row r="299" spans="1:21" ht="45" hidden="1" x14ac:dyDescent="0.25">
      <c r="A299" s="3" t="str">
        <f>INDEX('Correg (V1)'!$B:$B,MATCH($C299,'Correg (V1)'!$B:$B,0),1)</f>
        <v>R4251279-R2670272-</v>
      </c>
      <c r="B299" s="3" t="str">
        <f>INDEX('Nueva (V11)'!$B:$B,MATCH($C299,'Nueva (V11)'!$B:$B,0),1)</f>
        <v>R4251279-R2670272-</v>
      </c>
      <c r="C299" s="3" t="str">
        <f>_xlfn.TEXTJOIN("-",FALSE,$D299,$J299,$K299)</f>
        <v>R4251279-R2670272-</v>
      </c>
      <c r="D299" s="2" t="s">
        <v>108</v>
      </c>
      <c r="E299" s="2" t="s">
        <v>109</v>
      </c>
      <c r="F299" s="2" t="s">
        <v>110</v>
      </c>
      <c r="G299" s="2" t="s">
        <v>111</v>
      </c>
      <c r="H299" s="2" t="s">
        <v>2076</v>
      </c>
      <c r="I299" s="2" t="s">
        <v>112</v>
      </c>
      <c r="J299" s="2" t="s">
        <v>431</v>
      </c>
      <c r="K299" s="2"/>
      <c r="L299" s="2" t="s">
        <v>2077</v>
      </c>
      <c r="M299" s="2" t="s">
        <v>432</v>
      </c>
      <c r="N299" s="2"/>
      <c r="O299" s="2" t="s">
        <v>433</v>
      </c>
      <c r="P299" s="2"/>
      <c r="Q299" s="2"/>
      <c r="R299" s="2"/>
      <c r="S299" s="2"/>
      <c r="T299" s="2"/>
      <c r="U299" s="2" t="s">
        <v>2041</v>
      </c>
    </row>
    <row r="300" spans="1:21" ht="45" hidden="1" x14ac:dyDescent="0.25">
      <c r="A300" s="3" t="str">
        <f>INDEX('Correg (V1)'!$B:$B,MATCH($C300,'Correg (V1)'!$B:$B,0),1)</f>
        <v>R4251279-R5557357-</v>
      </c>
      <c r="B300" s="3" t="str">
        <f>INDEX('Nueva (V11)'!$B:$B,MATCH($C300,'Nueva (V11)'!$B:$B,0),1)</f>
        <v>R4251279-R5557357-</v>
      </c>
      <c r="C300" s="3" t="str">
        <f>_xlfn.TEXTJOIN("-",FALSE,$D300,$J300,$K300)</f>
        <v>R4251279-R5557357-</v>
      </c>
      <c r="D300" s="2" t="s">
        <v>108</v>
      </c>
      <c r="E300" s="2" t="s">
        <v>109</v>
      </c>
      <c r="F300" s="2" t="s">
        <v>110</v>
      </c>
      <c r="G300" s="2" t="s">
        <v>111</v>
      </c>
      <c r="H300" s="2" t="s">
        <v>2076</v>
      </c>
      <c r="I300" s="2" t="s">
        <v>112</v>
      </c>
      <c r="J300" s="2" t="s">
        <v>175</v>
      </c>
      <c r="K300" s="2"/>
      <c r="L300" s="2" t="s">
        <v>2077</v>
      </c>
      <c r="M300" s="2" t="s">
        <v>176</v>
      </c>
      <c r="N300" s="2"/>
      <c r="O300" s="2" t="s">
        <v>177</v>
      </c>
      <c r="P300" s="2"/>
      <c r="Q300" s="2"/>
      <c r="R300" s="2"/>
      <c r="S300" s="2"/>
      <c r="T300" s="2"/>
      <c r="U300" s="2" t="s">
        <v>2041</v>
      </c>
    </row>
    <row r="301" spans="1:21" ht="45" hidden="1" x14ac:dyDescent="0.25">
      <c r="A301" s="3" t="str">
        <f>INDEX('Correg (V1)'!$B:$B,MATCH($C301,'Correg (V1)'!$B:$B,0),1)</f>
        <v>R4251279-R6016876-</v>
      </c>
      <c r="B301" s="3" t="str">
        <f>INDEX('Nueva (V11)'!$B:$B,MATCH($C301,'Nueva (V11)'!$B:$B,0),1)</f>
        <v>R4251279-R6016876-</v>
      </c>
      <c r="C301" s="3" t="str">
        <f>_xlfn.TEXTJOIN("-",FALSE,$D301,$J301,$K301)</f>
        <v>R4251279-R6016876-</v>
      </c>
      <c r="D301" s="2" t="s">
        <v>108</v>
      </c>
      <c r="E301" s="2" t="s">
        <v>109</v>
      </c>
      <c r="F301" s="2" t="s">
        <v>110</v>
      </c>
      <c r="G301" s="2" t="s">
        <v>111</v>
      </c>
      <c r="H301" s="2" t="s">
        <v>2076</v>
      </c>
      <c r="I301" s="2" t="s">
        <v>112</v>
      </c>
      <c r="J301" s="2" t="s">
        <v>428</v>
      </c>
      <c r="K301" s="2"/>
      <c r="L301" s="2" t="s">
        <v>2077</v>
      </c>
      <c r="M301" s="2" t="s">
        <v>429</v>
      </c>
      <c r="N301" s="2"/>
      <c r="O301" s="2" t="s">
        <v>430</v>
      </c>
      <c r="P301" s="2"/>
      <c r="Q301" s="2"/>
      <c r="R301" s="2"/>
      <c r="S301" s="2"/>
      <c r="T301" s="2"/>
      <c r="U301" s="2" t="s">
        <v>2041</v>
      </c>
    </row>
    <row r="302" spans="1:21" ht="45" hidden="1" x14ac:dyDescent="0.25">
      <c r="A302" s="3" t="str">
        <f>INDEX('Correg (V1)'!$B:$B,MATCH($C302,'Correg (V1)'!$B:$B,0),1)</f>
        <v>R4251279-R6016876-</v>
      </c>
      <c r="B302" s="3" t="str">
        <f>INDEX('Nueva (V11)'!$B:$B,MATCH($C302,'Nueva (V11)'!$B:$B,0),1)</f>
        <v>R4251279-R6016876-</v>
      </c>
      <c r="C302" s="3" t="str">
        <f>_xlfn.TEXTJOIN("-",FALSE,$D302,$J302,$K302)</f>
        <v>R4251279-R6016876-</v>
      </c>
      <c r="D302" s="2" t="s">
        <v>108</v>
      </c>
      <c r="E302" s="2" t="s">
        <v>109</v>
      </c>
      <c r="F302" s="2" t="s">
        <v>110</v>
      </c>
      <c r="G302" s="2" t="s">
        <v>111</v>
      </c>
      <c r="H302" s="2" t="s">
        <v>2076</v>
      </c>
      <c r="I302" s="2" t="s">
        <v>112</v>
      </c>
      <c r="J302" s="2" t="s">
        <v>428</v>
      </c>
      <c r="K302" s="2"/>
      <c r="L302" s="2" t="s">
        <v>2077</v>
      </c>
      <c r="M302" s="2" t="s">
        <v>429</v>
      </c>
      <c r="N302" s="2"/>
      <c r="O302" s="2" t="s">
        <v>430</v>
      </c>
      <c r="P302" s="2"/>
      <c r="Q302" s="2"/>
      <c r="R302" s="2"/>
      <c r="S302" s="2"/>
      <c r="T302" s="2"/>
      <c r="U302" s="2" t="s">
        <v>2041</v>
      </c>
    </row>
    <row r="303" spans="1:21" ht="45" hidden="1" x14ac:dyDescent="0.25">
      <c r="A303" s="3" t="str">
        <f>INDEX('Correg (V1)'!$B:$B,MATCH($C303,'Correg (V1)'!$B:$B,0),1)</f>
        <v>R4251279-R6932822-</v>
      </c>
      <c r="B303" s="3" t="str">
        <f>INDEX('Nueva (V11)'!$B:$B,MATCH($C303,'Nueva (V11)'!$B:$B,0),1)</f>
        <v>R4251279-R6932822-</v>
      </c>
      <c r="C303" s="3" t="str">
        <f>_xlfn.TEXTJOIN("-",FALSE,$D303,$J303,$K303)</f>
        <v>R4251279-R6932822-</v>
      </c>
      <c r="D303" s="2" t="s">
        <v>108</v>
      </c>
      <c r="E303" s="2" t="s">
        <v>109</v>
      </c>
      <c r="F303" s="2" t="s">
        <v>110</v>
      </c>
      <c r="G303" s="2" t="s">
        <v>111</v>
      </c>
      <c r="H303" s="2" t="s">
        <v>2076</v>
      </c>
      <c r="I303" s="2" t="s">
        <v>112</v>
      </c>
      <c r="J303" s="2" t="s">
        <v>164</v>
      </c>
      <c r="K303" s="2"/>
      <c r="L303" s="2" t="s">
        <v>2077</v>
      </c>
      <c r="M303" s="2" t="s">
        <v>165</v>
      </c>
      <c r="N303" s="2"/>
      <c r="O303" s="2" t="s">
        <v>166</v>
      </c>
      <c r="P303" s="2"/>
      <c r="Q303" s="2"/>
      <c r="R303" s="2"/>
      <c r="S303" s="2"/>
      <c r="T303" s="2"/>
      <c r="U303" s="2" t="s">
        <v>2041</v>
      </c>
    </row>
    <row r="304" spans="1:21" ht="45" hidden="1" x14ac:dyDescent="0.25">
      <c r="A304" s="3" t="str">
        <f>INDEX('Correg (V1)'!$B:$B,MATCH($C304,'Correg (V1)'!$B:$B,0),1)</f>
        <v>R4251279-R8094337-</v>
      </c>
      <c r="B304" s="3" t="str">
        <f>INDEX('Nueva (V11)'!$B:$B,MATCH($C304,'Nueva (V11)'!$B:$B,0),1)</f>
        <v>R4251279-R8094337-</v>
      </c>
      <c r="C304" s="3" t="str">
        <f>_xlfn.TEXTJOIN("-",FALSE,$D304,$J304,$K304)</f>
        <v>R4251279-R8094337-</v>
      </c>
      <c r="D304" s="2" t="s">
        <v>108</v>
      </c>
      <c r="E304" s="2" t="s">
        <v>109</v>
      </c>
      <c r="F304" s="2" t="s">
        <v>110</v>
      </c>
      <c r="G304" s="2" t="s">
        <v>111</v>
      </c>
      <c r="H304" s="2" t="s">
        <v>2076</v>
      </c>
      <c r="I304" s="2" t="s">
        <v>112</v>
      </c>
      <c r="J304" s="2" t="s">
        <v>238</v>
      </c>
      <c r="K304" s="2"/>
      <c r="L304" s="2" t="s">
        <v>2077</v>
      </c>
      <c r="M304" s="2" t="s">
        <v>239</v>
      </c>
      <c r="N304" s="2"/>
      <c r="O304" s="2" t="s">
        <v>240</v>
      </c>
      <c r="P304" s="2"/>
      <c r="Q304" s="2"/>
      <c r="R304" s="2"/>
      <c r="S304" s="2"/>
      <c r="T304" s="2"/>
      <c r="U304" s="2" t="s">
        <v>2041</v>
      </c>
    </row>
    <row r="305" spans="1:21" ht="45" hidden="1" x14ac:dyDescent="0.25">
      <c r="A305" s="3" t="str">
        <f>INDEX('Correg (V1)'!$B:$B,MATCH($C305,'Correg (V1)'!$B:$B,0),1)</f>
        <v>R4251279-R9253941-</v>
      </c>
      <c r="B305" s="3" t="str">
        <f>INDEX('Nueva (V11)'!$B:$B,MATCH($C305,'Nueva (V11)'!$B:$B,0),1)</f>
        <v>R4251279-R9253941-</v>
      </c>
      <c r="C305" s="3" t="str">
        <f>_xlfn.TEXTJOIN("-",FALSE,$D305,$J305,$K305)</f>
        <v>R4251279-R9253941-</v>
      </c>
      <c r="D305" s="2" t="s">
        <v>108</v>
      </c>
      <c r="E305" s="2" t="s">
        <v>109</v>
      </c>
      <c r="F305" s="2" t="s">
        <v>110</v>
      </c>
      <c r="G305" s="2" t="s">
        <v>111</v>
      </c>
      <c r="H305" s="2" t="s">
        <v>2076</v>
      </c>
      <c r="I305" s="2" t="s">
        <v>112</v>
      </c>
      <c r="J305" s="2" t="s">
        <v>161</v>
      </c>
      <c r="K305" s="2"/>
      <c r="L305" s="2" t="s">
        <v>2077</v>
      </c>
      <c r="M305" s="2" t="s">
        <v>162</v>
      </c>
      <c r="N305" s="2"/>
      <c r="O305" s="2" t="s">
        <v>163</v>
      </c>
      <c r="P305" s="2"/>
      <c r="Q305" s="2"/>
      <c r="R305" s="2"/>
      <c r="S305" s="2"/>
      <c r="T305" s="2"/>
      <c r="U305" s="2" t="s">
        <v>2041</v>
      </c>
    </row>
    <row r="306" spans="1:21" ht="45" hidden="1" x14ac:dyDescent="0.25">
      <c r="A306" s="3" t="str">
        <f>INDEX('Correg (V1)'!$B:$B,MATCH($C306,'Correg (V1)'!$B:$B,0),1)</f>
        <v>R4251279-S0210935-</v>
      </c>
      <c r="B306" s="3" t="str">
        <f>INDEX('Nueva (V11)'!$B:$B,MATCH($C306,'Nueva (V11)'!$B:$B,0),1)</f>
        <v>R4251279-S0210935-</v>
      </c>
      <c r="C306" s="3" t="str">
        <f>_xlfn.TEXTJOIN("-",FALSE,$D306,$J306,$K306)</f>
        <v>R4251279-S0210935-</v>
      </c>
      <c r="D306" s="2" t="s">
        <v>108</v>
      </c>
      <c r="E306" s="2" t="s">
        <v>109</v>
      </c>
      <c r="F306" s="2" t="s">
        <v>110</v>
      </c>
      <c r="G306" s="2" t="s">
        <v>111</v>
      </c>
      <c r="H306" s="2" t="s">
        <v>2076</v>
      </c>
      <c r="I306" s="2" t="s">
        <v>112</v>
      </c>
      <c r="J306" s="2" t="s">
        <v>376</v>
      </c>
      <c r="K306" s="2"/>
      <c r="L306" s="2" t="s">
        <v>2077</v>
      </c>
      <c r="M306" s="2" t="s">
        <v>377</v>
      </c>
      <c r="N306" s="2"/>
      <c r="O306" s="2" t="s">
        <v>378</v>
      </c>
      <c r="P306" s="2"/>
      <c r="Q306" s="2"/>
      <c r="R306" s="2"/>
      <c r="S306" s="2"/>
      <c r="T306" s="2"/>
      <c r="U306" s="2" t="s">
        <v>2041</v>
      </c>
    </row>
    <row r="307" spans="1:21" ht="45" hidden="1" x14ac:dyDescent="0.25">
      <c r="A307" s="3" t="str">
        <f>INDEX('Correg (V1)'!$B:$B,MATCH($C307,'Correg (V1)'!$B:$B,0),1)</f>
        <v>R4251279-S1699066-</v>
      </c>
      <c r="B307" s="3" t="str">
        <f>INDEX('Nueva (V11)'!$B:$B,MATCH($C307,'Nueva (V11)'!$B:$B,0),1)</f>
        <v>R4251279-S1699066-</v>
      </c>
      <c r="C307" s="3" t="str">
        <f>_xlfn.TEXTJOIN("-",FALSE,$D307,$J307,$K307)</f>
        <v>R4251279-S1699066-</v>
      </c>
      <c r="D307" s="2" t="s">
        <v>108</v>
      </c>
      <c r="E307" s="2" t="s">
        <v>109</v>
      </c>
      <c r="F307" s="2" t="s">
        <v>110</v>
      </c>
      <c r="G307" s="2" t="s">
        <v>111</v>
      </c>
      <c r="H307" s="2" t="s">
        <v>2076</v>
      </c>
      <c r="I307" s="2" t="s">
        <v>112</v>
      </c>
      <c r="J307" s="2" t="s">
        <v>406</v>
      </c>
      <c r="K307" s="2"/>
      <c r="L307" s="2" t="s">
        <v>2077</v>
      </c>
      <c r="M307" s="2" t="s">
        <v>407</v>
      </c>
      <c r="N307" s="2"/>
      <c r="O307" s="2" t="s">
        <v>408</v>
      </c>
      <c r="P307" s="2"/>
      <c r="Q307" s="2"/>
      <c r="R307" s="2"/>
      <c r="S307" s="2"/>
      <c r="T307" s="2"/>
      <c r="U307" s="2" t="s">
        <v>2041</v>
      </c>
    </row>
    <row r="308" spans="1:21" ht="45" hidden="1" x14ac:dyDescent="0.25">
      <c r="A308" s="3" t="str">
        <f>INDEX('Correg (V1)'!$B:$B,MATCH($C308,'Correg (V1)'!$B:$B,0),1)</f>
        <v>R4251279-S1731588-</v>
      </c>
      <c r="B308" s="3" t="str">
        <f>INDEX('Nueva (V11)'!$B:$B,MATCH($C308,'Nueva (V11)'!$B:$B,0),1)</f>
        <v>R4251279-S1731588-</v>
      </c>
      <c r="C308" s="3" t="str">
        <f>_xlfn.TEXTJOIN("-",FALSE,$D308,$J308,$K308)</f>
        <v>R4251279-S1731588-</v>
      </c>
      <c r="D308" s="2" t="s">
        <v>108</v>
      </c>
      <c r="E308" s="2" t="s">
        <v>109</v>
      </c>
      <c r="F308" s="2" t="s">
        <v>110</v>
      </c>
      <c r="G308" s="2" t="s">
        <v>111</v>
      </c>
      <c r="H308" s="2" t="s">
        <v>2076</v>
      </c>
      <c r="I308" s="2" t="s">
        <v>112</v>
      </c>
      <c r="J308" s="2" t="s">
        <v>348</v>
      </c>
      <c r="K308" s="2"/>
      <c r="L308" s="2" t="s">
        <v>2077</v>
      </c>
      <c r="M308" s="2" t="s">
        <v>349</v>
      </c>
      <c r="N308" s="2"/>
      <c r="O308" s="2" t="s">
        <v>350</v>
      </c>
      <c r="P308" s="2"/>
      <c r="Q308" s="2"/>
      <c r="R308" s="2"/>
      <c r="S308" s="2"/>
      <c r="T308" s="2"/>
      <c r="U308" s="2" t="s">
        <v>2041</v>
      </c>
    </row>
    <row r="309" spans="1:21" ht="45" hidden="1" x14ac:dyDescent="0.25">
      <c r="A309" s="3" t="str">
        <f>INDEX('Correg (V1)'!$B:$B,MATCH($C309,'Correg (V1)'!$B:$B,0),1)</f>
        <v>R4251279-S1860198-</v>
      </c>
      <c r="B309" s="3" t="str">
        <f>INDEX('Nueva (V11)'!$B:$B,MATCH($C309,'Nueva (V11)'!$B:$B,0),1)</f>
        <v>R4251279-S1860198-</v>
      </c>
      <c r="C309" s="3" t="str">
        <f>_xlfn.TEXTJOIN("-",FALSE,$D309,$J309,$K309)</f>
        <v>R4251279-S1860198-</v>
      </c>
      <c r="D309" s="2" t="s">
        <v>108</v>
      </c>
      <c r="E309" s="2" t="s">
        <v>109</v>
      </c>
      <c r="F309" s="2" t="s">
        <v>110</v>
      </c>
      <c r="G309" s="2" t="s">
        <v>111</v>
      </c>
      <c r="H309" s="2" t="s">
        <v>2076</v>
      </c>
      <c r="I309" s="2" t="s">
        <v>112</v>
      </c>
      <c r="J309" s="2" t="s">
        <v>118</v>
      </c>
      <c r="K309" s="2"/>
      <c r="L309" s="2" t="s">
        <v>2077</v>
      </c>
      <c r="M309" s="2" t="s">
        <v>119</v>
      </c>
      <c r="N309" s="2"/>
      <c r="O309" s="2" t="s">
        <v>120</v>
      </c>
      <c r="P309" s="2"/>
      <c r="Q309" s="2"/>
      <c r="R309" s="2"/>
      <c r="S309" s="2"/>
      <c r="T309" s="2"/>
      <c r="U309" s="2" t="s">
        <v>2041</v>
      </c>
    </row>
    <row r="310" spans="1:21" ht="45" hidden="1" x14ac:dyDescent="0.25">
      <c r="A310" s="3" t="str">
        <f>INDEX('Correg (V1)'!$B:$B,MATCH($C310,'Correg (V1)'!$B:$B,0),1)</f>
        <v>R4251279-S9863090-</v>
      </c>
      <c r="B310" s="3" t="str">
        <f>INDEX('Nueva (V11)'!$B:$B,MATCH($C310,'Nueva (V11)'!$B:$B,0),1)</f>
        <v>R4251279-S9863090-</v>
      </c>
      <c r="C310" s="3" t="str">
        <f>_xlfn.TEXTJOIN("-",FALSE,$D310,$J310,$K310)</f>
        <v>R4251279-S9863090-</v>
      </c>
      <c r="D310" s="2" t="s">
        <v>108</v>
      </c>
      <c r="E310" s="2" t="s">
        <v>109</v>
      </c>
      <c r="F310" s="2" t="s">
        <v>110</v>
      </c>
      <c r="G310" s="2" t="s">
        <v>111</v>
      </c>
      <c r="H310" s="2" t="s">
        <v>2076</v>
      </c>
      <c r="I310" s="2" t="s">
        <v>112</v>
      </c>
      <c r="J310" s="2" t="s">
        <v>309</v>
      </c>
      <c r="K310" s="2"/>
      <c r="L310" s="2" t="s">
        <v>2077</v>
      </c>
      <c r="M310" s="2" t="s">
        <v>310</v>
      </c>
      <c r="N310" s="2"/>
      <c r="O310" s="2" t="s">
        <v>311</v>
      </c>
      <c r="P310" s="2"/>
      <c r="Q310" s="2"/>
      <c r="R310" s="2"/>
      <c r="S310" s="2"/>
      <c r="T310" s="2"/>
      <c r="U310" s="2" t="s">
        <v>2041</v>
      </c>
    </row>
    <row r="311" spans="1:21" ht="45" hidden="1" x14ac:dyDescent="0.25">
      <c r="A311" s="3" t="str">
        <f>INDEX('Correg (V1)'!$B:$B,MATCH($C311,'Correg (V1)'!$B:$B,0),1)</f>
        <v>R4251279-W2695769-</v>
      </c>
      <c r="B311" s="3" t="str">
        <f>INDEX('Nueva (V11)'!$B:$B,MATCH($C311,'Nueva (V11)'!$B:$B,0),1)</f>
        <v>R4251279-W2695769-</v>
      </c>
      <c r="C311" s="3" t="str">
        <f>_xlfn.TEXTJOIN("-",FALSE,$D311,$J311,$K311)</f>
        <v>R4251279-W2695769-</v>
      </c>
      <c r="D311" s="2" t="s">
        <v>108</v>
      </c>
      <c r="E311" s="2" t="s">
        <v>109</v>
      </c>
      <c r="F311" s="2" t="s">
        <v>110</v>
      </c>
      <c r="G311" s="2" t="s">
        <v>111</v>
      </c>
      <c r="H311" s="2" t="s">
        <v>2076</v>
      </c>
      <c r="I311" s="2" t="s">
        <v>112</v>
      </c>
      <c r="J311" s="2" t="s">
        <v>351</v>
      </c>
      <c r="K311" s="2"/>
      <c r="L311" s="2" t="s">
        <v>2077</v>
      </c>
      <c r="M311" s="2" t="s">
        <v>310</v>
      </c>
      <c r="N311" s="2"/>
      <c r="O311" s="2" t="s">
        <v>352</v>
      </c>
      <c r="P311" s="2"/>
      <c r="Q311" s="2"/>
      <c r="R311" s="2"/>
      <c r="S311" s="2"/>
      <c r="T311" s="2"/>
      <c r="U311" s="2" t="s">
        <v>2041</v>
      </c>
    </row>
    <row r="312" spans="1:21" ht="45" hidden="1" x14ac:dyDescent="0.25">
      <c r="A312" s="3" t="str">
        <f>INDEX('Correg (V1)'!$B:$B,MATCH($C312,'Correg (V1)'!$B:$B,0),1)</f>
        <v>R4251279-Y0253734-</v>
      </c>
      <c r="B312" s="3" t="str">
        <f>INDEX('Nueva (V11)'!$B:$B,MATCH($C312,'Nueva (V11)'!$B:$B,0),1)</f>
        <v>R4251279-Y0253734-</v>
      </c>
      <c r="C312" s="3" t="str">
        <f>_xlfn.TEXTJOIN("-",FALSE,$D312,$J312,$K312)</f>
        <v>R4251279-Y0253734-</v>
      </c>
      <c r="D312" s="2" t="s">
        <v>108</v>
      </c>
      <c r="E312" s="2" t="s">
        <v>109</v>
      </c>
      <c r="F312" s="2" t="s">
        <v>110</v>
      </c>
      <c r="G312" s="2" t="s">
        <v>111</v>
      </c>
      <c r="H312" s="2" t="s">
        <v>2076</v>
      </c>
      <c r="I312" s="2" t="s">
        <v>112</v>
      </c>
      <c r="J312" s="2" t="s">
        <v>379</v>
      </c>
      <c r="K312" s="2"/>
      <c r="L312" s="2" t="s">
        <v>2077</v>
      </c>
      <c r="M312" s="2" t="s">
        <v>380</v>
      </c>
      <c r="N312" s="2"/>
      <c r="O312" s="2" t="s">
        <v>381</v>
      </c>
      <c r="P312" s="2"/>
      <c r="Q312" s="2"/>
      <c r="R312" s="2"/>
      <c r="S312" s="2"/>
      <c r="T312" s="2"/>
      <c r="U312" s="2" t="s">
        <v>2041</v>
      </c>
    </row>
    <row r="313" spans="1:21" ht="45" hidden="1" x14ac:dyDescent="0.25">
      <c r="A313" s="3" t="str">
        <f>INDEX('Correg (V1)'!$B:$B,MATCH($C313,'Correg (V1)'!$B:$B,0),1)</f>
        <v>R4251279-Y0565913-</v>
      </c>
      <c r="B313" s="3" t="str">
        <f>INDEX('Nueva (V11)'!$B:$B,MATCH($C313,'Nueva (V11)'!$B:$B,0),1)</f>
        <v>R4251279-Y0565913-</v>
      </c>
      <c r="C313" s="3" t="str">
        <f>_xlfn.TEXTJOIN("-",FALSE,$D313,$J313,$K313)</f>
        <v>R4251279-Y0565913-</v>
      </c>
      <c r="D313" s="2" t="s">
        <v>108</v>
      </c>
      <c r="E313" s="2" t="s">
        <v>109</v>
      </c>
      <c r="F313" s="2" t="s">
        <v>110</v>
      </c>
      <c r="G313" s="2" t="s">
        <v>111</v>
      </c>
      <c r="H313" s="2" t="s">
        <v>2076</v>
      </c>
      <c r="I313" s="2" t="s">
        <v>112</v>
      </c>
      <c r="J313" s="2" t="s">
        <v>414</v>
      </c>
      <c r="K313" s="2"/>
      <c r="L313" s="2" t="s">
        <v>2077</v>
      </c>
      <c r="M313" s="2" t="s">
        <v>380</v>
      </c>
      <c r="N313" s="2"/>
      <c r="O313" s="2" t="s">
        <v>415</v>
      </c>
      <c r="P313" s="2"/>
      <c r="Q313" s="2"/>
      <c r="R313" s="2"/>
      <c r="S313" s="2"/>
      <c r="T313" s="2"/>
      <c r="U313" s="2" t="s">
        <v>2041</v>
      </c>
    </row>
    <row r="314" spans="1:21" ht="45" hidden="1" x14ac:dyDescent="0.25">
      <c r="A314" s="3" t="str">
        <f>INDEX('Correg (V1)'!$B:$B,MATCH($C314,'Correg (V1)'!$B:$B,0),1)</f>
        <v>R4251279-Y2715658-</v>
      </c>
      <c r="B314" s="3" t="str">
        <f>INDEX('Nueva (V11)'!$B:$B,MATCH($C314,'Nueva (V11)'!$B:$B,0),1)</f>
        <v>R4251279-Y2715658-</v>
      </c>
      <c r="C314" s="3" t="str">
        <f>_xlfn.TEXTJOIN("-",FALSE,$D314,$J314,$K314)</f>
        <v>R4251279-Y2715658-</v>
      </c>
      <c r="D314" s="2" t="s">
        <v>108</v>
      </c>
      <c r="E314" s="2" t="s">
        <v>109</v>
      </c>
      <c r="F314" s="2" t="s">
        <v>110</v>
      </c>
      <c r="G314" s="2" t="s">
        <v>111</v>
      </c>
      <c r="H314" s="2" t="s">
        <v>2076</v>
      </c>
      <c r="I314" s="2" t="s">
        <v>112</v>
      </c>
      <c r="J314" s="2" t="s">
        <v>385</v>
      </c>
      <c r="K314" s="2"/>
      <c r="L314" s="2" t="s">
        <v>2077</v>
      </c>
      <c r="M314" s="2" t="s">
        <v>386</v>
      </c>
      <c r="N314" s="2"/>
      <c r="O314" s="2" t="s">
        <v>387</v>
      </c>
      <c r="P314" s="2"/>
      <c r="Q314" s="2"/>
      <c r="R314" s="2"/>
      <c r="S314" s="2"/>
      <c r="T314" s="2"/>
      <c r="U314" s="2" t="s">
        <v>2041</v>
      </c>
    </row>
    <row r="315" spans="1:21" hidden="1" x14ac:dyDescent="0.25">
      <c r="A315" s="3" t="str">
        <f>INDEX('Correg (V1)'!$B:$B,MATCH($C315,'Correg (V1)'!$B:$B,0),1)</f>
        <v>R4393033-R4393033-</v>
      </c>
      <c r="B315" s="3" t="e">
        <f>INDEX('Nueva (V11)'!$B:$B,MATCH($C315,'Nueva (V11)'!$B:$B,0),1)</f>
        <v>#N/A</v>
      </c>
      <c r="C315" s="3" t="str">
        <f>_xlfn.TEXTJOIN("-",FALSE,$D315,$J315,$K315)</f>
        <v>R4393033-R4393033-</v>
      </c>
      <c r="D315" s="2" t="s">
        <v>1021</v>
      </c>
      <c r="E315" s="2" t="s">
        <v>717</v>
      </c>
      <c r="F315" s="2" t="s">
        <v>1022</v>
      </c>
      <c r="G315" s="2" t="s">
        <v>1023</v>
      </c>
      <c r="H315" s="2" t="s">
        <v>2307</v>
      </c>
      <c r="I315" s="2" t="s">
        <v>1024</v>
      </c>
      <c r="J315" s="2" t="s">
        <v>1021</v>
      </c>
      <c r="K315" s="2"/>
      <c r="L315" s="2" t="s">
        <v>2308</v>
      </c>
      <c r="M315" s="2" t="s">
        <v>717</v>
      </c>
      <c r="N315" s="2"/>
      <c r="O315" s="2" t="s">
        <v>1022</v>
      </c>
      <c r="P315" s="2"/>
      <c r="Q315" s="2" t="s">
        <v>1023</v>
      </c>
      <c r="R315" s="2"/>
      <c r="S315" s="2"/>
      <c r="T315" s="2"/>
      <c r="U315" s="2" t="s">
        <v>2038</v>
      </c>
    </row>
    <row r="316" spans="1:21" hidden="1" x14ac:dyDescent="0.25">
      <c r="A316" s="3" t="str">
        <f>INDEX('Correg (V1)'!$B:$B,MATCH($C316,'Correg (V1)'!$B:$B,0),1)</f>
        <v>R4422109-R4422109-</v>
      </c>
      <c r="B316" s="3" t="e">
        <f>INDEX('Nueva (V11)'!$B:$B,MATCH($C316,'Nueva (V11)'!$B:$B,0),1)</f>
        <v>#N/A</v>
      </c>
      <c r="C316" s="3" t="str">
        <f>_xlfn.TEXTJOIN("-",FALSE,$D316,$J316,$K316)</f>
        <v>R4422109-R4422109-</v>
      </c>
      <c r="D316" s="2" t="s">
        <v>938</v>
      </c>
      <c r="E316" s="2" t="s">
        <v>939</v>
      </c>
      <c r="F316" s="2" t="s">
        <v>11</v>
      </c>
      <c r="G316" s="2" t="s">
        <v>940</v>
      </c>
      <c r="H316" s="2" t="s">
        <v>2267</v>
      </c>
      <c r="I316" s="2" t="s">
        <v>941</v>
      </c>
      <c r="J316" s="2" t="s">
        <v>938</v>
      </c>
      <c r="K316" s="2"/>
      <c r="L316" s="2" t="s">
        <v>2268</v>
      </c>
      <c r="M316" s="2" t="s">
        <v>939</v>
      </c>
      <c r="N316" s="2"/>
      <c r="O316" s="2" t="s">
        <v>11</v>
      </c>
      <c r="P316" s="2"/>
      <c r="Q316" s="2" t="s">
        <v>940</v>
      </c>
      <c r="R316" s="2"/>
      <c r="S316" s="2"/>
      <c r="T316" s="2"/>
      <c r="U316" s="2" t="s">
        <v>2083</v>
      </c>
    </row>
    <row r="317" spans="1:21" ht="45" hidden="1" x14ac:dyDescent="0.25">
      <c r="A317" s="3" t="str">
        <f>INDEX('Correg (V1)'!$B:$B,MATCH($C317,'Correg (V1)'!$B:$B,0),1)</f>
        <v>R5077557--A6556153</v>
      </c>
      <c r="B317" s="3" t="str">
        <f>INDEX('Nueva (V11)'!$B:$B,MATCH($C317,'Nueva (V11)'!$B:$B,0),1)</f>
        <v>R5077557--A6556153</v>
      </c>
      <c r="C317" s="3" t="str">
        <f>_xlfn.TEXTJOIN("-",FALSE,$D317,$J317,$K317)</f>
        <v>R5077557--A6556153</v>
      </c>
      <c r="D317" s="2" t="s">
        <v>9</v>
      </c>
      <c r="E317" s="2" t="s">
        <v>10</v>
      </c>
      <c r="F317" s="2" t="s">
        <v>11</v>
      </c>
      <c r="G317" s="2" t="s">
        <v>12</v>
      </c>
      <c r="H317" s="2" t="s">
        <v>2039</v>
      </c>
      <c r="I317" s="2" t="s">
        <v>13</v>
      </c>
      <c r="J317" s="2"/>
      <c r="K317" s="2" t="s">
        <v>14</v>
      </c>
      <c r="L317" s="2" t="s">
        <v>2040</v>
      </c>
      <c r="M317" s="2"/>
      <c r="N317" s="2" t="s">
        <v>15</v>
      </c>
      <c r="O317" s="2"/>
      <c r="P317" s="2" t="s">
        <v>16</v>
      </c>
      <c r="Q317" s="2"/>
      <c r="R317" s="2" t="s">
        <v>17</v>
      </c>
      <c r="S317" s="2"/>
      <c r="T317" s="2"/>
      <c r="U317" s="2" t="s">
        <v>2041</v>
      </c>
    </row>
    <row r="318" spans="1:21" hidden="1" x14ac:dyDescent="0.25">
      <c r="A318" s="3" t="str">
        <f>INDEX('Correg (V1)'!$B:$B,MATCH($C318,'Correg (V1)'!$B:$B,0),1)</f>
        <v>R5240001-R5240001-</v>
      </c>
      <c r="B318" s="3" t="str">
        <f>INDEX('Nueva (V11)'!$B:$B,MATCH($C318,'Nueva (V11)'!$B:$B,0),1)</f>
        <v>R5240001-R5240001-</v>
      </c>
      <c r="C318" s="3" t="str">
        <f>_xlfn.TEXTJOIN("-",FALSE,$D318,$J318,$K318)</f>
        <v>R5240001-R5240001-</v>
      </c>
      <c r="D318" s="2" t="s">
        <v>668</v>
      </c>
      <c r="E318" s="2" t="s">
        <v>669</v>
      </c>
      <c r="F318" s="2" t="s">
        <v>670</v>
      </c>
      <c r="G318" s="2" t="s">
        <v>671</v>
      </c>
      <c r="H318" s="2" t="s">
        <v>2172</v>
      </c>
      <c r="I318" s="2" t="s">
        <v>672</v>
      </c>
      <c r="J318" s="2" t="s">
        <v>668</v>
      </c>
      <c r="K318" s="2"/>
      <c r="L318" s="2" t="s">
        <v>2173</v>
      </c>
      <c r="M318" s="2" t="s">
        <v>669</v>
      </c>
      <c r="N318" s="2"/>
      <c r="O318" s="2" t="s">
        <v>670</v>
      </c>
      <c r="P318" s="2"/>
      <c r="Q318" s="2" t="s">
        <v>671</v>
      </c>
      <c r="R318" s="2"/>
      <c r="S318" s="2"/>
      <c r="T318" s="2"/>
      <c r="U318" s="2" t="s">
        <v>2038</v>
      </c>
    </row>
    <row r="319" spans="1:21" hidden="1" x14ac:dyDescent="0.25">
      <c r="A319" s="3" t="str">
        <f>INDEX('Correg (V1)'!$B:$B,MATCH($C319,'Correg (V1)'!$B:$B,0),1)</f>
        <v>R5955364--B2149319</v>
      </c>
      <c r="B319" s="3" t="e">
        <f>INDEX('Nueva (V11)'!$B:$B,MATCH($C319,'Nueva (V11)'!$B:$B,0),1)</f>
        <v>#N/A</v>
      </c>
      <c r="C319" s="3" t="str">
        <f>_xlfn.TEXTJOIN("-",FALSE,$D319,$J319,$K319)</f>
        <v>R5955364--B2149319</v>
      </c>
      <c r="D319" s="2" t="s">
        <v>631</v>
      </c>
      <c r="E319" s="2" t="s">
        <v>632</v>
      </c>
      <c r="F319" s="2" t="s">
        <v>633</v>
      </c>
      <c r="G319" s="2" t="s">
        <v>634</v>
      </c>
      <c r="H319" s="2" t="s">
        <v>2161</v>
      </c>
      <c r="I319" s="2" t="s">
        <v>1020</v>
      </c>
      <c r="J319" s="2"/>
      <c r="K319" s="2" t="s">
        <v>531</v>
      </c>
      <c r="L319" s="2" t="s">
        <v>2118</v>
      </c>
      <c r="M319" s="2"/>
      <c r="N319" s="2" t="s">
        <v>532</v>
      </c>
      <c r="O319" s="2"/>
      <c r="P319" s="2" t="s">
        <v>21</v>
      </c>
      <c r="Q319" s="2"/>
      <c r="R319" s="2" t="s">
        <v>533</v>
      </c>
      <c r="S319" s="2"/>
      <c r="T319" s="2"/>
      <c r="U319" s="2" t="s">
        <v>2071</v>
      </c>
    </row>
    <row r="320" spans="1:21" hidden="1" x14ac:dyDescent="0.25">
      <c r="A320" s="3" t="str">
        <f>INDEX('Correg (V1)'!$B:$B,MATCH($C320,'Correg (V1)'!$B:$B,0),1)</f>
        <v>R7419095--M2662009</v>
      </c>
      <c r="B320" s="3" t="e">
        <f>INDEX('Nueva (V11)'!$B:$B,MATCH($C320,'Nueva (V11)'!$B:$B,0),1)</f>
        <v>#N/A</v>
      </c>
      <c r="C320" s="3" t="str">
        <f>_xlfn.TEXTJOIN("-",FALSE,$D320,$J320,$K320)</f>
        <v>R7419095--M2662009</v>
      </c>
      <c r="D320" s="2" t="s">
        <v>1077</v>
      </c>
      <c r="E320" s="2" t="s">
        <v>610</v>
      </c>
      <c r="F320" s="2" t="s">
        <v>1078</v>
      </c>
      <c r="G320" s="2" t="s">
        <v>1079</v>
      </c>
      <c r="H320" s="2" t="s">
        <v>2337</v>
      </c>
      <c r="I320" s="2" t="s">
        <v>2337</v>
      </c>
      <c r="J320" s="2"/>
      <c r="K320" s="2" t="s">
        <v>509</v>
      </c>
      <c r="L320" s="2" t="s">
        <v>2110</v>
      </c>
      <c r="M320" s="2"/>
      <c r="N320" s="2" t="s">
        <v>19</v>
      </c>
      <c r="O320" s="2"/>
      <c r="P320" s="2" t="s">
        <v>510</v>
      </c>
      <c r="Q320" s="2"/>
      <c r="R320" s="2" t="s">
        <v>511</v>
      </c>
      <c r="S320" s="2"/>
      <c r="T320" s="2"/>
      <c r="U320" s="2" t="s">
        <v>2083</v>
      </c>
    </row>
    <row r="321" spans="1:21" hidden="1" x14ac:dyDescent="0.25">
      <c r="A321" s="3" t="str">
        <f>INDEX('Correg (V1)'!$B:$B,MATCH($C321,'Correg (V1)'!$B:$B,0),1)</f>
        <v>R8352994-R8352994-</v>
      </c>
      <c r="B321" s="3" t="str">
        <f>INDEX('Nueva (V11)'!$B:$B,MATCH($C321,'Nueva (V11)'!$B:$B,0),1)</f>
        <v>R8352994-R8352994-</v>
      </c>
      <c r="C321" s="3" t="str">
        <f>_xlfn.TEXTJOIN("-",FALSE,$D321,$J321,$K321)</f>
        <v>R8352994-R8352994-</v>
      </c>
      <c r="D321" s="2" t="s">
        <v>94</v>
      </c>
      <c r="E321" s="2" t="s">
        <v>95</v>
      </c>
      <c r="F321" s="2" t="s">
        <v>96</v>
      </c>
      <c r="G321" s="2" t="s">
        <v>97</v>
      </c>
      <c r="H321" s="2" t="s">
        <v>2072</v>
      </c>
      <c r="I321" s="2" t="s">
        <v>98</v>
      </c>
      <c r="J321" s="2" t="s">
        <v>94</v>
      </c>
      <c r="K321" s="2"/>
      <c r="L321" s="2" t="s">
        <v>2073</v>
      </c>
      <c r="M321" s="2" t="s">
        <v>95</v>
      </c>
      <c r="N321" s="2"/>
      <c r="O321" s="2" t="s">
        <v>96</v>
      </c>
      <c r="P321" s="2"/>
      <c r="Q321" s="2" t="s">
        <v>97</v>
      </c>
      <c r="R321" s="2"/>
      <c r="S321" s="2"/>
      <c r="T321" s="2"/>
      <c r="U321" s="2" t="s">
        <v>2038</v>
      </c>
    </row>
    <row r="322" spans="1:21" hidden="1" x14ac:dyDescent="0.25">
      <c r="A322" s="3" t="str">
        <f>INDEX('Correg (V1)'!$B:$B,MATCH($C322,'Correg (V1)'!$B:$B,0),1)</f>
        <v>R8849211-R8849211-</v>
      </c>
      <c r="B322" s="3" t="str">
        <f>INDEX('Nueva (V11)'!$B:$B,MATCH($C322,'Nueva (V11)'!$B:$B,0),1)</f>
        <v>R8849211-R8849211-</v>
      </c>
      <c r="C322" s="3" t="str">
        <f>_xlfn.TEXTJOIN("-",FALSE,$D322,$J322,$K322)</f>
        <v>R8849211-R8849211-</v>
      </c>
      <c r="D322" s="2" t="s">
        <v>513</v>
      </c>
      <c r="E322" s="2" t="s">
        <v>514</v>
      </c>
      <c r="F322" s="2" t="s">
        <v>515</v>
      </c>
      <c r="G322" s="2" t="s">
        <v>516</v>
      </c>
      <c r="H322" s="2" t="s">
        <v>2111</v>
      </c>
      <c r="I322" s="2" t="s">
        <v>517</v>
      </c>
      <c r="J322" s="2" t="s">
        <v>513</v>
      </c>
      <c r="K322" s="2"/>
      <c r="L322" s="2" t="s">
        <v>2112</v>
      </c>
      <c r="M322" s="2" t="s">
        <v>514</v>
      </c>
      <c r="N322" s="2"/>
      <c r="O322" s="2" t="s">
        <v>515</v>
      </c>
      <c r="P322" s="2"/>
      <c r="Q322" s="2" t="s">
        <v>516</v>
      </c>
      <c r="R322" s="2"/>
      <c r="S322" s="2"/>
      <c r="T322" s="2"/>
      <c r="U322" s="2" t="s">
        <v>2046</v>
      </c>
    </row>
    <row r="323" spans="1:21" ht="45" hidden="1" x14ac:dyDescent="0.25">
      <c r="A323" s="3" t="str">
        <f>INDEX('Correg (V1)'!$B:$B,MATCH($C323,'Correg (V1)'!$B:$B,0),1)</f>
        <v>R9966182-R9966182-</v>
      </c>
      <c r="B323" s="3" t="e">
        <f>INDEX('Nueva (V11)'!$B:$B,MATCH($C323,'Nueva (V11)'!$B:$B,0),1)</f>
        <v>#N/A</v>
      </c>
      <c r="C323" s="3" t="str">
        <f>_xlfn.TEXTJOIN("-",FALSE,$D323,$J323,$K323)</f>
        <v>R9966182-R9966182-</v>
      </c>
      <c r="D323" s="2" t="s">
        <v>968</v>
      </c>
      <c r="E323" s="2" t="s">
        <v>717</v>
      </c>
      <c r="F323" s="2" t="s">
        <v>969</v>
      </c>
      <c r="G323" s="2" t="s">
        <v>970</v>
      </c>
      <c r="H323" s="2" t="s">
        <v>2282</v>
      </c>
      <c r="I323" s="2" t="s">
        <v>971</v>
      </c>
      <c r="J323" s="2" t="s">
        <v>968</v>
      </c>
      <c r="K323" s="2"/>
      <c r="L323" s="2" t="s">
        <v>2283</v>
      </c>
      <c r="M323" s="2" t="s">
        <v>717</v>
      </c>
      <c r="N323" s="2"/>
      <c r="O323" s="2" t="s">
        <v>969</v>
      </c>
      <c r="P323" s="2"/>
      <c r="Q323" s="2" t="s">
        <v>970</v>
      </c>
      <c r="R323" s="2"/>
      <c r="S323" s="2"/>
      <c r="T323" s="2"/>
      <c r="U323" s="2" t="s">
        <v>2041</v>
      </c>
    </row>
    <row r="324" spans="1:21" hidden="1" x14ac:dyDescent="0.25">
      <c r="A324" s="3" t="str">
        <f>INDEX('Correg (V1)'!$B:$B,MATCH($C324,'Correg (V1)'!$B:$B,0),1)</f>
        <v>S3084275--M1426435</v>
      </c>
      <c r="B324" s="3" t="e">
        <f>INDEX('Nueva (V11)'!$B:$B,MATCH($C324,'Nueva (V11)'!$B:$B,0),1)</f>
        <v>#N/A</v>
      </c>
      <c r="C324" s="3" t="str">
        <f>_xlfn.TEXTJOIN("-",FALSE,$D324,$J324,$K324)</f>
        <v>S3084275--M1426435</v>
      </c>
      <c r="D324" s="2" t="s">
        <v>1075</v>
      </c>
      <c r="E324" s="2" t="s">
        <v>744</v>
      </c>
      <c r="F324" s="2" t="s">
        <v>1076</v>
      </c>
      <c r="G324" s="2" t="s">
        <v>493</v>
      </c>
      <c r="H324" s="2" t="s">
        <v>2336</v>
      </c>
      <c r="I324" s="2" t="s">
        <v>2336</v>
      </c>
      <c r="J324" s="2"/>
      <c r="K324" s="2" t="s">
        <v>571</v>
      </c>
      <c r="L324" s="2" t="s">
        <v>2137</v>
      </c>
      <c r="M324" s="2"/>
      <c r="N324" s="2" t="s">
        <v>92</v>
      </c>
      <c r="O324" s="2"/>
      <c r="P324" s="2" t="s">
        <v>572</v>
      </c>
      <c r="Q324" s="2"/>
      <c r="R324" s="2" t="s">
        <v>573</v>
      </c>
      <c r="S324" s="2"/>
      <c r="T324" s="2"/>
      <c r="U324" s="2" t="s">
        <v>2083</v>
      </c>
    </row>
    <row r="325" spans="1:21" hidden="1" x14ac:dyDescent="0.25">
      <c r="A325" s="3" t="str">
        <f>INDEX('Correg (V1)'!$B:$B,MATCH($C325,'Correg (V1)'!$B:$B,0),1)</f>
        <v>S4017070--B2149319</v>
      </c>
      <c r="B325" s="3" t="e">
        <f>INDEX('Nueva (V11)'!$B:$B,MATCH($C325,'Nueva (V11)'!$B:$B,0),1)</f>
        <v>#N/A</v>
      </c>
      <c r="C325" s="3" t="str">
        <f>_xlfn.TEXTJOIN("-",FALSE,$D325,$J325,$K325)</f>
        <v>S4017070--B2149319</v>
      </c>
      <c r="D325" s="2" t="s">
        <v>1051</v>
      </c>
      <c r="E325" s="2" t="s">
        <v>1041</v>
      </c>
      <c r="F325" s="2" t="s">
        <v>1052</v>
      </c>
      <c r="G325" s="2" t="s">
        <v>1053</v>
      </c>
      <c r="H325" s="2" t="s">
        <v>2325</v>
      </c>
      <c r="I325" s="2" t="s">
        <v>1054</v>
      </c>
      <c r="J325" s="2"/>
      <c r="K325" s="2" t="s">
        <v>531</v>
      </c>
      <c r="L325" s="2" t="s">
        <v>2118</v>
      </c>
      <c r="M325" s="2"/>
      <c r="N325" s="2" t="s">
        <v>532</v>
      </c>
      <c r="O325" s="2"/>
      <c r="P325" s="2" t="s">
        <v>21</v>
      </c>
      <c r="Q325" s="2"/>
      <c r="R325" s="2" t="s">
        <v>533</v>
      </c>
      <c r="S325" s="2"/>
      <c r="T325" s="2"/>
      <c r="U325" s="2" t="s">
        <v>2071</v>
      </c>
    </row>
    <row r="326" spans="1:21" ht="30" hidden="1" x14ac:dyDescent="0.25">
      <c r="A326" s="3" t="str">
        <f>INDEX('Correg (V1)'!$B:$B,MATCH($C326,'Correg (V1)'!$B:$B,0),1)</f>
        <v>S4815932-S4815932-</v>
      </c>
      <c r="B326" s="3" t="e">
        <f>INDEX('Nueva (V11)'!$B:$B,MATCH($C326,'Nueva (V11)'!$B:$B,0),1)</f>
        <v>#N/A</v>
      </c>
      <c r="C326" s="3" t="str">
        <f>_xlfn.TEXTJOIN("-",FALSE,$D326,$J326,$K326)</f>
        <v>S4815932-S4815932-</v>
      </c>
      <c r="D326" s="2" t="s">
        <v>954</v>
      </c>
      <c r="E326" s="2" t="s">
        <v>955</v>
      </c>
      <c r="F326" s="2" t="s">
        <v>956</v>
      </c>
      <c r="G326" s="2" t="s">
        <v>3</v>
      </c>
      <c r="H326" s="2" t="s">
        <v>2275</v>
      </c>
      <c r="I326" s="2" t="s">
        <v>957</v>
      </c>
      <c r="J326" s="2" t="s">
        <v>954</v>
      </c>
      <c r="K326" s="2"/>
      <c r="L326" s="2" t="s">
        <v>2276</v>
      </c>
      <c r="M326" s="2" t="s">
        <v>955</v>
      </c>
      <c r="N326" s="2"/>
      <c r="O326" s="2" t="s">
        <v>956</v>
      </c>
      <c r="P326" s="2"/>
      <c r="Q326" s="2" t="s">
        <v>3</v>
      </c>
      <c r="R326" s="2"/>
      <c r="S326" s="2"/>
      <c r="T326" s="2"/>
      <c r="U326" s="2" t="s">
        <v>2038</v>
      </c>
    </row>
    <row r="327" spans="1:21" hidden="1" x14ac:dyDescent="0.25">
      <c r="A327" s="3" t="str">
        <f>INDEX('Correg (V1)'!$B:$B,MATCH($C327,'Correg (V1)'!$B:$B,0),1)</f>
        <v>S5892027--G0003988</v>
      </c>
      <c r="B327" s="3" t="str">
        <f>INDEX('Nueva (V11)'!$B:$B,MATCH($C327,'Nueva (V11)'!$B:$B,0),1)</f>
        <v>S5892027--G0003988</v>
      </c>
      <c r="C327" s="3" t="str">
        <f>_xlfn.TEXTJOIN("-",FALSE,$D327,$J327,$K327)</f>
        <v>S5892027--G0003988</v>
      </c>
      <c r="D327" s="2" t="s">
        <v>743</v>
      </c>
      <c r="E327" s="2" t="s">
        <v>744</v>
      </c>
      <c r="F327" s="2" t="s">
        <v>745</v>
      </c>
      <c r="G327" s="2" t="s">
        <v>746</v>
      </c>
      <c r="H327" s="2" t="s">
        <v>2201</v>
      </c>
      <c r="I327" s="2" t="s">
        <v>747</v>
      </c>
      <c r="J327" s="2"/>
      <c r="K327" s="2" t="s">
        <v>694</v>
      </c>
      <c r="L327" s="2" t="s">
        <v>2182</v>
      </c>
      <c r="M327" s="2"/>
      <c r="N327" s="2" t="s">
        <v>695</v>
      </c>
      <c r="O327" s="2"/>
      <c r="P327" s="2" t="s">
        <v>493</v>
      </c>
      <c r="Q327" s="2"/>
      <c r="R327" s="2" t="s">
        <v>696</v>
      </c>
      <c r="S327" s="2"/>
      <c r="T327" s="2"/>
      <c r="U327" s="2" t="s">
        <v>2038</v>
      </c>
    </row>
    <row r="328" spans="1:21" hidden="1" x14ac:dyDescent="0.25">
      <c r="A328" s="3" t="str">
        <f>INDEX('Correg (V1)'!$B:$B,MATCH($C328,'Correg (V1)'!$B:$B,0),1)</f>
        <v>S6464703-S6464703-</v>
      </c>
      <c r="B328" s="3" t="e">
        <f>INDEX('Nueva (V11)'!$B:$B,MATCH($C328,'Nueva (V11)'!$B:$B,0),1)</f>
        <v>#N/A</v>
      </c>
      <c r="C328" s="3" t="str">
        <f>_xlfn.TEXTJOIN("-",FALSE,$D328,$J328,$K328)</f>
        <v>S6464703-S6464703-</v>
      </c>
      <c r="D328" s="2" t="s">
        <v>1040</v>
      </c>
      <c r="E328" s="2" t="s">
        <v>1041</v>
      </c>
      <c r="F328" s="2" t="s">
        <v>1042</v>
      </c>
      <c r="G328" s="2" t="s">
        <v>691</v>
      </c>
      <c r="H328" s="2" t="s">
        <v>2317</v>
      </c>
      <c r="I328" s="2" t="s">
        <v>1043</v>
      </c>
      <c r="J328" s="2" t="s">
        <v>1040</v>
      </c>
      <c r="K328" s="2"/>
      <c r="L328" s="2" t="s">
        <v>2318</v>
      </c>
      <c r="M328" s="2" t="s">
        <v>1041</v>
      </c>
      <c r="N328" s="2"/>
      <c r="O328" s="2" t="s">
        <v>1042</v>
      </c>
      <c r="P328" s="2"/>
      <c r="Q328" s="2" t="s">
        <v>691</v>
      </c>
      <c r="R328" s="2"/>
      <c r="S328" s="2"/>
      <c r="T328" s="2"/>
      <c r="U328" s="2" t="s">
        <v>2038</v>
      </c>
    </row>
    <row r="329" spans="1:21" hidden="1" x14ac:dyDescent="0.25">
      <c r="A329" s="16" t="e">
        <f>INDEX('Correg (V1)'!$B:$B,MATCH($C329,'Correg (V1)'!$B:$B,0),1)</f>
        <v>#N/A</v>
      </c>
      <c r="B329" s="3" t="e">
        <f>INDEX('Nueva (V11)'!$B:$B,MATCH($C329,'Nueva (V11)'!$B:$B,0),1)</f>
        <v>#N/A</v>
      </c>
      <c r="C329" s="3" t="str">
        <f>_xlfn.TEXTJOIN("-",FALSE,$D329,$J329,$K329)</f>
        <v>SGID1033-A5238573-</v>
      </c>
      <c r="D329" s="2" t="s">
        <v>1159</v>
      </c>
      <c r="E329" s="2" t="s">
        <v>438</v>
      </c>
      <c r="F329" s="2" t="s">
        <v>1160</v>
      </c>
      <c r="G329" s="2" t="s">
        <v>74</v>
      </c>
      <c r="H329" s="2" t="s">
        <v>1164</v>
      </c>
      <c r="I329" s="2" t="s">
        <v>1165</v>
      </c>
      <c r="J329" s="2" t="s">
        <v>1169</v>
      </c>
      <c r="K329" s="2"/>
      <c r="L329" s="2" t="s">
        <v>1167</v>
      </c>
      <c r="M329" s="2" t="s">
        <v>68</v>
      </c>
      <c r="N329" s="2"/>
      <c r="O329" s="2" t="s">
        <v>1170</v>
      </c>
      <c r="P329" s="2"/>
      <c r="Q329" s="2" t="s">
        <v>1171</v>
      </c>
      <c r="R329" s="2"/>
      <c r="S329" s="2"/>
      <c r="T329" s="2"/>
      <c r="U329" s="2" t="s">
        <v>47</v>
      </c>
    </row>
    <row r="330" spans="1:21" hidden="1" x14ac:dyDescent="0.25">
      <c r="A330" s="3" t="str">
        <f>INDEX('Correg (V1)'!$B:$B,MATCH($C330,'Correg (V1)'!$B:$B,0),1)</f>
        <v>SGID1033-J8235507-</v>
      </c>
      <c r="B330" s="3" t="e">
        <f>INDEX('Nueva (V11)'!$B:$B,MATCH($C330,'Nueva (V11)'!$B:$B,0),1)</f>
        <v>#N/A</v>
      </c>
      <c r="C330" s="3" t="str">
        <f>_xlfn.TEXTJOIN("-",FALSE,$D330,$J330,$K330)</f>
        <v>SGID1033-J8235507-</v>
      </c>
      <c r="D330" s="2" t="s">
        <v>1159</v>
      </c>
      <c r="E330" s="2" t="s">
        <v>438</v>
      </c>
      <c r="F330" s="2" t="s">
        <v>1160</v>
      </c>
      <c r="G330" s="2" t="s">
        <v>74</v>
      </c>
      <c r="H330" s="2" t="s">
        <v>1164</v>
      </c>
      <c r="I330" s="2" t="s">
        <v>1165</v>
      </c>
      <c r="J330" s="2" t="s">
        <v>1166</v>
      </c>
      <c r="K330" s="2"/>
      <c r="L330" s="2" t="s">
        <v>1167</v>
      </c>
      <c r="M330" s="2" t="s">
        <v>552</v>
      </c>
      <c r="N330" s="2"/>
      <c r="O330" s="2" t="s">
        <v>1168</v>
      </c>
      <c r="P330" s="2"/>
      <c r="Q330" s="2" t="s">
        <v>29</v>
      </c>
      <c r="R330" s="2"/>
      <c r="S330" s="2"/>
      <c r="T330" s="2"/>
      <c r="U330" s="2" t="s">
        <v>47</v>
      </c>
    </row>
    <row r="331" spans="1:21" hidden="1" x14ac:dyDescent="0.25">
      <c r="A331" s="3" t="str">
        <f>INDEX('Correg (V1)'!$B:$B,MATCH($C331,'Correg (V1)'!$B:$B,0),1)</f>
        <v>SGID1033--</v>
      </c>
      <c r="B331" s="3" t="e">
        <f>INDEX('Nueva (V11)'!$B:$B,MATCH($C331,'Nueva (V11)'!$B:$B,0),1)</f>
        <v>#N/A</v>
      </c>
      <c r="C331" s="3" t="str">
        <f>_xlfn.TEXTJOIN("-",FALSE,$D331,$J331,$K331)</f>
        <v>SGID1033--</v>
      </c>
      <c r="D331" s="2" t="s">
        <v>1159</v>
      </c>
      <c r="E331" s="2" t="s">
        <v>438</v>
      </c>
      <c r="F331" s="2" t="s">
        <v>1160</v>
      </c>
      <c r="G331" s="2" t="s">
        <v>74</v>
      </c>
      <c r="H331" s="2" t="s">
        <v>1161</v>
      </c>
      <c r="I331" s="2" t="s">
        <v>1162</v>
      </c>
      <c r="J331" s="2"/>
      <c r="K331" s="2"/>
      <c r="L331" s="2" t="s">
        <v>1163</v>
      </c>
      <c r="M331" s="2"/>
      <c r="N331" s="2"/>
      <c r="O331" s="2"/>
      <c r="P331" s="2"/>
      <c r="Q331" s="2"/>
      <c r="R331" s="2"/>
      <c r="S331" s="2"/>
      <c r="T331" s="2"/>
      <c r="U331" s="2" t="s">
        <v>47</v>
      </c>
    </row>
    <row r="332" spans="1:21" hidden="1" x14ac:dyDescent="0.25">
      <c r="A332" s="3" t="str">
        <f>INDEX('Correg (V1)'!$B:$B,MATCH($C332,'Correg (V1)'!$B:$B,0),1)</f>
        <v>T3229795-T3229795-</v>
      </c>
      <c r="B332" s="3" t="str">
        <f>INDEX('Nueva (V11)'!$B:$B,MATCH($C332,'Nueva (V11)'!$B:$B,0),1)</f>
        <v>T3229795-T3229795-</v>
      </c>
      <c r="C332" s="3" t="str">
        <f>_xlfn.TEXTJOIN("-",FALSE,$D332,$J332,$K332)</f>
        <v>T3229795-T3229795-</v>
      </c>
      <c r="D332" s="2" t="s">
        <v>53</v>
      </c>
      <c r="E332" s="2" t="s">
        <v>54</v>
      </c>
      <c r="F332" s="2" t="s">
        <v>55</v>
      </c>
      <c r="G332" s="2" t="s">
        <v>44</v>
      </c>
      <c r="H332" s="2" t="s">
        <v>2055</v>
      </c>
      <c r="I332" s="2" t="s">
        <v>56</v>
      </c>
      <c r="J332" s="2" t="s">
        <v>53</v>
      </c>
      <c r="K332" s="2"/>
      <c r="L332" s="2" t="s">
        <v>2056</v>
      </c>
      <c r="M332" s="2" t="s">
        <v>54</v>
      </c>
      <c r="N332" s="2"/>
      <c r="O332" s="2" t="s">
        <v>55</v>
      </c>
      <c r="P332" s="2"/>
      <c r="Q332" s="2" t="s">
        <v>44</v>
      </c>
      <c r="R332" s="2"/>
      <c r="S332" s="2"/>
      <c r="T332" s="2"/>
      <c r="U332" s="2" t="s">
        <v>47</v>
      </c>
    </row>
    <row r="333" spans="1:21" ht="30" hidden="1" x14ac:dyDescent="0.25">
      <c r="A333" s="3" t="str">
        <f>INDEX('Correg (V1)'!$B:$B,MATCH($C333,'Correg (V1)'!$B:$B,0),1)</f>
        <v>V0741212-V0741212-</v>
      </c>
      <c r="B333" s="3" t="str">
        <f>INDEX('Nueva (V11)'!$B:$B,MATCH($C333,'Nueva (V11)'!$B:$B,0),1)</f>
        <v>V0741212-V0741212-</v>
      </c>
      <c r="C333" s="3" t="str">
        <f>_xlfn.TEXTJOIN("-",FALSE,$D333,$J333,$K333)</f>
        <v>V0741212-V0741212-</v>
      </c>
      <c r="D333" s="2" t="s">
        <v>803</v>
      </c>
      <c r="E333" s="2" t="s">
        <v>804</v>
      </c>
      <c r="F333" s="2" t="s">
        <v>805</v>
      </c>
      <c r="G333" s="2" t="s">
        <v>806</v>
      </c>
      <c r="H333" s="2" t="s">
        <v>2222</v>
      </c>
      <c r="I333" s="2" t="s">
        <v>807</v>
      </c>
      <c r="J333" s="2" t="s">
        <v>803</v>
      </c>
      <c r="K333" s="2"/>
      <c r="L333" s="2" t="s">
        <v>2223</v>
      </c>
      <c r="M333" s="2" t="s">
        <v>804</v>
      </c>
      <c r="N333" s="2"/>
      <c r="O333" s="2" t="s">
        <v>805</v>
      </c>
      <c r="P333" s="2"/>
      <c r="Q333" s="2" t="s">
        <v>806</v>
      </c>
      <c r="R333" s="2"/>
      <c r="S333" s="2"/>
      <c r="T333" s="2"/>
      <c r="U333" s="2" t="s">
        <v>107</v>
      </c>
    </row>
    <row r="334" spans="1:21" hidden="1" x14ac:dyDescent="0.25">
      <c r="A334" s="3" t="str">
        <f>INDEX('Correg (V1)'!$B:$B,MATCH($C334,'Correg (V1)'!$B:$B,0),1)</f>
        <v>V2068289--J1842217</v>
      </c>
      <c r="B334" s="3" t="e">
        <f>INDEX('Nueva (V11)'!$B:$B,MATCH($C334,'Nueva (V11)'!$B:$B,0),1)</f>
        <v>#N/A</v>
      </c>
      <c r="C334" s="3" t="str">
        <f>_xlfn.TEXTJOIN("-",FALSE,$D334,$J334,$K334)</f>
        <v>V2068289--J1842217</v>
      </c>
      <c r="D334" s="2" t="s">
        <v>732</v>
      </c>
      <c r="E334" s="2" t="s">
        <v>60</v>
      </c>
      <c r="F334" s="2" t="s">
        <v>733</v>
      </c>
      <c r="G334" s="2" t="s">
        <v>734</v>
      </c>
      <c r="H334" s="2" t="s">
        <v>2196</v>
      </c>
      <c r="I334" s="2" t="s">
        <v>1133</v>
      </c>
      <c r="J334" s="2"/>
      <c r="K334" s="2" t="s">
        <v>457</v>
      </c>
      <c r="L334" s="2" t="s">
        <v>2087</v>
      </c>
      <c r="M334" s="2"/>
      <c r="N334" s="2" t="s">
        <v>458</v>
      </c>
      <c r="O334" s="2"/>
      <c r="P334" s="2" t="s">
        <v>459</v>
      </c>
      <c r="Q334" s="2"/>
      <c r="R334" s="2" t="s">
        <v>460</v>
      </c>
      <c r="S334" s="2"/>
      <c r="T334" s="2"/>
      <c r="U334" s="2" t="s">
        <v>2083</v>
      </c>
    </row>
    <row r="335" spans="1:21" hidden="1" x14ac:dyDescent="0.25">
      <c r="A335" s="3" t="str">
        <f>INDEX('Correg (V1)'!$B:$B,MATCH($C335,'Correg (V1)'!$B:$B,0),1)</f>
        <v>V2925369--J1842217</v>
      </c>
      <c r="B335" s="3" t="e">
        <f>INDEX('Nueva (V11)'!$B:$B,MATCH($C335,'Nueva (V11)'!$B:$B,0),1)</f>
        <v>#N/A</v>
      </c>
      <c r="C335" s="3" t="str">
        <f>_xlfn.TEXTJOIN("-",FALSE,$D335,$J335,$K335)</f>
        <v>V2925369--J1842217</v>
      </c>
      <c r="D335" s="2" t="s">
        <v>763</v>
      </c>
      <c r="E335" s="2" t="s">
        <v>764</v>
      </c>
      <c r="F335" s="2" t="s">
        <v>765</v>
      </c>
      <c r="G335" s="2" t="s">
        <v>766</v>
      </c>
      <c r="H335" s="2" t="s">
        <v>2209</v>
      </c>
      <c r="I335" s="2" t="s">
        <v>1098</v>
      </c>
      <c r="J335" s="2"/>
      <c r="K335" s="2" t="s">
        <v>457</v>
      </c>
      <c r="L335" s="2" t="s">
        <v>2087</v>
      </c>
      <c r="M335" s="2"/>
      <c r="N335" s="2" t="s">
        <v>458</v>
      </c>
      <c r="O335" s="2"/>
      <c r="P335" s="2" t="s">
        <v>459</v>
      </c>
      <c r="Q335" s="2"/>
      <c r="R335" s="2" t="s">
        <v>460</v>
      </c>
      <c r="S335" s="2"/>
      <c r="T335" s="2"/>
      <c r="U335" s="2" t="s">
        <v>2083</v>
      </c>
    </row>
    <row r="336" spans="1:21" ht="30" hidden="1" x14ac:dyDescent="0.25">
      <c r="A336" s="3" t="str">
        <f>INDEX('Correg (V1)'!$B:$B,MATCH($C336,'Correg (V1)'!$B:$B,0),1)</f>
        <v>V5668792-P9875672-</v>
      </c>
      <c r="B336" s="3" t="str">
        <f>INDEX('Nueva (V11)'!$B:$B,MATCH($C336,'Nueva (V11)'!$B:$B,0),1)</f>
        <v>V5668792-P9875672-</v>
      </c>
      <c r="C336" s="3" t="str">
        <f>_xlfn.TEXTJOIN("-",FALSE,$D336,$J336,$K336)</f>
        <v>V5668792-P9875672-</v>
      </c>
      <c r="D336" s="2" t="s">
        <v>99</v>
      </c>
      <c r="E336" s="2" t="s">
        <v>100</v>
      </c>
      <c r="F336" s="2" t="s">
        <v>101</v>
      </c>
      <c r="G336" s="2" t="s">
        <v>102</v>
      </c>
      <c r="H336" s="2" t="s">
        <v>2074</v>
      </c>
      <c r="I336" s="2" t="s">
        <v>103</v>
      </c>
      <c r="J336" s="2" t="s">
        <v>104</v>
      </c>
      <c r="K336" s="2"/>
      <c r="L336" s="2" t="s">
        <v>2075</v>
      </c>
      <c r="M336" s="2" t="s">
        <v>58</v>
      </c>
      <c r="N336" s="2"/>
      <c r="O336" s="2" t="s">
        <v>105</v>
      </c>
      <c r="P336" s="2"/>
      <c r="Q336" s="2" t="s">
        <v>106</v>
      </c>
      <c r="R336" s="2"/>
      <c r="S336" s="2"/>
      <c r="T336" s="2"/>
      <c r="U336" s="2" t="s">
        <v>107</v>
      </c>
    </row>
    <row r="337" spans="1:21" ht="30" hidden="1" x14ac:dyDescent="0.25">
      <c r="A337" s="3" t="str">
        <f>INDEX('Correg (V1)'!$B:$B,MATCH($C337,'Correg (V1)'!$B:$B,0),1)</f>
        <v>V9086179--A3167958</v>
      </c>
      <c r="B337" s="3" t="e">
        <f>INDEX('Nueva (V11)'!$B:$B,MATCH($C337,'Nueva (V11)'!$B:$B,0),1)</f>
        <v>#N/A</v>
      </c>
      <c r="C337" s="3" t="str">
        <f>_xlfn.TEXTJOIN("-",FALSE,$D337,$J337,$K337)</f>
        <v>V9086179--A3167958</v>
      </c>
      <c r="D337" s="2" t="s">
        <v>710</v>
      </c>
      <c r="E337" s="2" t="s">
        <v>711</v>
      </c>
      <c r="F337" s="2" t="s">
        <v>700</v>
      </c>
      <c r="G337" s="2" t="s">
        <v>712</v>
      </c>
      <c r="H337" s="2" t="s">
        <v>2187</v>
      </c>
      <c r="I337" s="2" t="s">
        <v>947</v>
      </c>
      <c r="J337" s="2"/>
      <c r="K337" s="2" t="s">
        <v>640</v>
      </c>
      <c r="L337" s="2" t="s">
        <v>2163</v>
      </c>
      <c r="M337" s="2"/>
      <c r="N337" s="2" t="s">
        <v>68</v>
      </c>
      <c r="O337" s="2"/>
      <c r="P337" s="2" t="s">
        <v>549</v>
      </c>
      <c r="Q337" s="2"/>
      <c r="R337" s="2" t="s">
        <v>12</v>
      </c>
      <c r="S337" s="2"/>
      <c r="T337" s="2"/>
      <c r="U337" s="2" t="s">
        <v>2083</v>
      </c>
    </row>
    <row r="338" spans="1:21" hidden="1" x14ac:dyDescent="0.25">
      <c r="A338" s="3" t="str">
        <f>INDEX('Correg (V1)'!$B:$B,MATCH($C338,'Correg (V1)'!$B:$B,0),1)</f>
        <v>V9777605-V9777605-</v>
      </c>
      <c r="B338" s="3" t="str">
        <f>INDEX('Nueva (V11)'!$B:$B,MATCH($C338,'Nueva (V11)'!$B:$B,0),1)</f>
        <v>V9777605-V9777605-</v>
      </c>
      <c r="C338" s="3" t="str">
        <f>_xlfn.TEXTJOIN("-",FALSE,$D338,$J338,$K338)</f>
        <v>V9777605-V9777605-</v>
      </c>
      <c r="D338" s="2" t="s">
        <v>738</v>
      </c>
      <c r="E338" s="2" t="s">
        <v>739</v>
      </c>
      <c r="F338" s="2" t="s">
        <v>740</v>
      </c>
      <c r="G338" s="2" t="s">
        <v>741</v>
      </c>
      <c r="H338" s="2" t="s">
        <v>2199</v>
      </c>
      <c r="I338" s="2" t="s">
        <v>742</v>
      </c>
      <c r="J338" s="2" t="s">
        <v>738</v>
      </c>
      <c r="K338" s="2"/>
      <c r="L338" s="2" t="s">
        <v>2200</v>
      </c>
      <c r="M338" s="2" t="s">
        <v>739</v>
      </c>
      <c r="N338" s="2"/>
      <c r="O338" s="2" t="s">
        <v>740</v>
      </c>
      <c r="P338" s="2"/>
      <c r="Q338" s="2" t="s">
        <v>741</v>
      </c>
      <c r="R338" s="2"/>
      <c r="S338" s="2"/>
      <c r="T338" s="2"/>
      <c r="U338" s="2" t="s">
        <v>2038</v>
      </c>
    </row>
    <row r="339" spans="1:21" ht="30" hidden="1" x14ac:dyDescent="0.25">
      <c r="A339" s="3" t="str">
        <f>INDEX('Correg (V1)'!$B:$B,MATCH($C339,'Correg (V1)'!$B:$B,0),1)</f>
        <v>Y2236249--I6825354</v>
      </c>
      <c r="B339" s="3" t="str">
        <f>INDEX('Nueva (V11)'!$B:$B,MATCH($C339,'Nueva (V11)'!$B:$B,0),1)</f>
        <v>Y2236249--I6825354</v>
      </c>
      <c r="C339" s="3" t="str">
        <f>_xlfn.TEXTJOIN("-",FALSE,$D339,$J339,$K339)</f>
        <v>Y2236249--I6825354</v>
      </c>
      <c r="D339" s="2" t="s">
        <v>782</v>
      </c>
      <c r="E339" s="2" t="s">
        <v>783</v>
      </c>
      <c r="F339" s="2" t="s">
        <v>784</v>
      </c>
      <c r="G339" s="2" t="s">
        <v>8</v>
      </c>
      <c r="H339" s="2" t="s">
        <v>2216</v>
      </c>
      <c r="I339" s="2" t="s">
        <v>785</v>
      </c>
      <c r="J339" s="2"/>
      <c r="K339" s="2" t="s">
        <v>491</v>
      </c>
      <c r="L339" s="2" t="s">
        <v>2102</v>
      </c>
      <c r="M339" s="2"/>
      <c r="N339" s="2" t="s">
        <v>492</v>
      </c>
      <c r="O339" s="2"/>
      <c r="P339" s="2" t="s">
        <v>493</v>
      </c>
      <c r="Q339" s="2"/>
      <c r="R339" s="2" t="s">
        <v>60</v>
      </c>
      <c r="S339" s="2"/>
      <c r="T339" s="2"/>
      <c r="U339" s="2" t="s">
        <v>2083</v>
      </c>
    </row>
    <row r="340" spans="1:21" hidden="1" x14ac:dyDescent="0.25">
      <c r="A340" s="3" t="str">
        <f>INDEX('Correg (V1)'!$B:$B,MATCH($C340,'Correg (V1)'!$B:$B,0),1)</f>
        <v>Y3223618--J6399199</v>
      </c>
      <c r="B340" s="3" t="str">
        <f>INDEX('Nueva (V11)'!$B:$B,MATCH($C340,'Nueva (V11)'!$B:$B,0),1)</f>
        <v>Y3223618--J6399199</v>
      </c>
      <c r="C340" s="3" t="str">
        <f>_xlfn.TEXTJOIN("-",FALSE,$D340,$J340,$K340)</f>
        <v>Y3223618--J6399199</v>
      </c>
      <c r="D340" s="2" t="s">
        <v>897</v>
      </c>
      <c r="E340" s="2" t="s">
        <v>898</v>
      </c>
      <c r="F340" s="2" t="s">
        <v>899</v>
      </c>
      <c r="G340" s="2" t="s">
        <v>900</v>
      </c>
      <c r="H340" s="2" t="s">
        <v>2252</v>
      </c>
      <c r="I340" s="2" t="s">
        <v>915</v>
      </c>
      <c r="J340" s="2"/>
      <c r="K340" s="2" t="s">
        <v>775</v>
      </c>
      <c r="L340" s="2" t="s">
        <v>2213</v>
      </c>
      <c r="M340" s="2"/>
      <c r="N340" s="2" t="s">
        <v>776</v>
      </c>
      <c r="O340" s="2"/>
      <c r="P340" s="2" t="s">
        <v>777</v>
      </c>
      <c r="Q340" s="2"/>
      <c r="R340" s="2" t="s">
        <v>778</v>
      </c>
      <c r="S340" s="2"/>
      <c r="T340" s="2"/>
      <c r="U340" s="2" t="s">
        <v>2083</v>
      </c>
    </row>
    <row r="341" spans="1:21" ht="30" x14ac:dyDescent="0.25">
      <c r="A341" s="8" t="e">
        <f>INDEX('Correg (V1)'!$B:$B,MATCH($C341,'Correg (V1)'!$B:$B,0),1)</f>
        <v>#N/A</v>
      </c>
      <c r="B341" s="3" t="e">
        <f>INDEX('Nueva (V11)'!$B:$B,MATCH($C341,'Nueva (V11)'!$B:$B,0),1)</f>
        <v>#N/A</v>
      </c>
      <c r="C341" s="3" t="str">
        <f>_xlfn.TEXTJOIN("-",FALSE,$D341,$J341,$K341)</f>
        <v>-N3723463-</v>
      </c>
      <c r="D341" s="2"/>
      <c r="E341" s="2" t="s">
        <v>76</v>
      </c>
      <c r="F341" s="2" t="s">
        <v>77</v>
      </c>
      <c r="G341" s="2" t="s">
        <v>78</v>
      </c>
      <c r="H341" s="2" t="s">
        <v>2065</v>
      </c>
      <c r="I341" s="2" t="s">
        <v>79</v>
      </c>
      <c r="J341" s="2" t="s">
        <v>80</v>
      </c>
      <c r="K341" s="2"/>
      <c r="L341" s="2" t="s">
        <v>2066</v>
      </c>
      <c r="M341" s="2" t="s">
        <v>81</v>
      </c>
      <c r="N341" s="2"/>
      <c r="O341" s="2" t="s">
        <v>82</v>
      </c>
      <c r="P341" s="2"/>
      <c r="Q341" s="2" t="s">
        <v>83</v>
      </c>
      <c r="R341" s="2"/>
      <c r="S341" s="2"/>
      <c r="T341" s="2"/>
      <c r="U341" s="2" t="s">
        <v>2038</v>
      </c>
    </row>
    <row r="342" spans="1:21" hidden="1" x14ac:dyDescent="0.25"/>
  </sheetData>
  <autoFilter ref="A1:U342" xr:uid="{B2DDF436-0D81-4E78-A489-4CCC3FA04944}">
    <filterColumn colId="0">
      <colorFilter dxfId="0"/>
    </filterColumn>
  </autoFilter>
  <sortState xmlns:xlrd2="http://schemas.microsoft.com/office/spreadsheetml/2017/richdata2" ref="A2:U341">
    <sortCondition ref="D2:D341"/>
    <sortCondition ref="J2:J341"/>
    <sortCondition ref="K2:K34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FA07F-547F-410D-91FF-CFCECDCCF1E2}">
  <dimension ref="A1:T301"/>
  <sheetViews>
    <sheetView workbookViewId="0">
      <pane ySplit="1" topLeftCell="A2" activePane="bottomLeft" state="frozen"/>
      <selection pane="bottomLeft" sqref="A1:XFD1048576"/>
    </sheetView>
  </sheetViews>
  <sheetFormatPr baseColWidth="10" defaultRowHeight="15" x14ac:dyDescent="0.25"/>
  <cols>
    <col min="1" max="1" width="22.85546875" style="3" bestFit="1" customWidth="1"/>
    <col min="2" max="2" width="19.7109375" style="3" bestFit="1" customWidth="1"/>
    <col min="3" max="3" width="9.5703125" style="1" bestFit="1" customWidth="1"/>
    <col min="4" max="4" width="11.42578125" style="1"/>
    <col min="5" max="5" width="16.85546875" style="1" bestFit="1" customWidth="1"/>
    <col min="6" max="6" width="18.7109375" style="1" bestFit="1" customWidth="1"/>
    <col min="7" max="7" width="13.28515625" style="1" bestFit="1" customWidth="1"/>
    <col min="8" max="8" width="20.7109375" style="1" bestFit="1" customWidth="1"/>
    <col min="9" max="9" width="15.85546875" style="1" bestFit="1" customWidth="1"/>
    <col min="10" max="10" width="15" style="1" bestFit="1" customWidth="1"/>
    <col min="11" max="11" width="13.28515625" style="1" bestFit="1" customWidth="1"/>
    <col min="12" max="12" width="19" style="1" bestFit="1" customWidth="1"/>
    <col min="13" max="13" width="18" style="1" bestFit="1" customWidth="1"/>
    <col min="14" max="14" width="25.5703125" style="1" bestFit="1" customWidth="1"/>
    <col min="15" max="15" width="24.7109375" style="1" bestFit="1" customWidth="1"/>
    <col min="16" max="16" width="27.28515625" style="1" bestFit="1" customWidth="1"/>
    <col min="17" max="17" width="26.42578125" style="1" bestFit="1" customWidth="1"/>
    <col min="18" max="18" width="13.85546875" style="1" bestFit="1" customWidth="1"/>
    <col min="19" max="19" width="15.28515625" style="1" bestFit="1" customWidth="1"/>
    <col min="20" max="20" width="11" style="1" bestFit="1" customWidth="1"/>
    <col min="21" max="16384" width="11.42578125" style="1"/>
  </cols>
  <sheetData>
    <row r="1" spans="1:20" x14ac:dyDescent="0.25">
      <c r="A1" s="3" t="s">
        <v>2637</v>
      </c>
      <c r="C1" s="1" t="s">
        <v>1293</v>
      </c>
      <c r="D1" s="1" t="s">
        <v>841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1296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 spans="1:20" customFormat="1" x14ac:dyDescent="0.25">
      <c r="A2" s="3" t="str">
        <f>INDEX('Orig (V1_BCK)'!$C:$C,MATCH($B2,'Orig (V1_BCK)'!$C:$C,0),1)</f>
        <v>A0702288-A0702288-</v>
      </c>
      <c r="B2" s="3" t="str">
        <f>_xlfn.TEXTJOIN("-",FALSE,$C2,$I2,$J2)</f>
        <v>A0702288-A0702288-</v>
      </c>
      <c r="C2" s="2" t="s">
        <v>598</v>
      </c>
      <c r="D2" s="2" t="s">
        <v>599</v>
      </c>
      <c r="E2" s="2" t="s">
        <v>600</v>
      </c>
      <c r="F2" s="2" t="s">
        <v>8</v>
      </c>
      <c r="G2" s="2" t="s">
        <v>2147</v>
      </c>
      <c r="H2" s="2" t="s">
        <v>601</v>
      </c>
      <c r="I2" s="2" t="s">
        <v>598</v>
      </c>
      <c r="J2" s="2"/>
      <c r="K2" s="2" t="s">
        <v>2148</v>
      </c>
      <c r="L2" s="2" t="s">
        <v>599</v>
      </c>
      <c r="M2" s="2"/>
      <c r="N2" s="2" t="s">
        <v>600</v>
      </c>
      <c r="O2" s="2"/>
      <c r="P2" s="2" t="s">
        <v>8</v>
      </c>
      <c r="Q2" s="2"/>
      <c r="R2" s="2"/>
      <c r="S2" s="2"/>
      <c r="T2" s="2" t="s">
        <v>2038</v>
      </c>
    </row>
    <row r="3" spans="1:20" customFormat="1" x14ac:dyDescent="0.25">
      <c r="A3" s="3" t="str">
        <f>INDEX('Orig (V1_BCK)'!$C:$C,MATCH($B3,'Orig (V1_BCK)'!$C:$C,0),1)</f>
        <v>A1692880-A1692880-</v>
      </c>
      <c r="B3" s="3" t="str">
        <f>_xlfn.TEXTJOIN("-",FALSE,$C3,$I3,$J3)</f>
        <v>A1692880-A1692880-</v>
      </c>
      <c r="C3" s="2" t="s">
        <v>602</v>
      </c>
      <c r="D3" s="2" t="s">
        <v>68</v>
      </c>
      <c r="E3" s="2" t="s">
        <v>603</v>
      </c>
      <c r="F3" s="2" t="s">
        <v>604</v>
      </c>
      <c r="G3" s="2" t="s">
        <v>2149</v>
      </c>
      <c r="H3" s="2" t="s">
        <v>605</v>
      </c>
      <c r="I3" s="2" t="s">
        <v>602</v>
      </c>
      <c r="J3" s="2"/>
      <c r="K3" s="2" t="s">
        <v>2150</v>
      </c>
      <c r="L3" s="2" t="s">
        <v>68</v>
      </c>
      <c r="M3" s="2"/>
      <c r="N3" s="2" t="s">
        <v>603</v>
      </c>
      <c r="O3" s="2"/>
      <c r="P3" s="2" t="s">
        <v>604</v>
      </c>
      <c r="Q3" s="2"/>
      <c r="R3" s="2"/>
      <c r="S3" s="2"/>
      <c r="T3" s="2" t="s">
        <v>47</v>
      </c>
    </row>
    <row r="4" spans="1:20" customFormat="1" ht="30" x14ac:dyDescent="0.25">
      <c r="A4" s="3" t="str">
        <f>INDEX('Orig (V1_BCK)'!$C:$C,MATCH($B4,'Orig (V1_BCK)'!$C:$C,0),1)</f>
        <v>A1975872--J2161690</v>
      </c>
      <c r="B4" s="3" t="str">
        <f>_xlfn.TEXTJOIN("-",FALSE,$C4,$I4,$J4)</f>
        <v>A1975872--J2161690</v>
      </c>
      <c r="C4" s="2" t="s">
        <v>466</v>
      </c>
      <c r="D4" s="2" t="s">
        <v>467</v>
      </c>
      <c r="E4" s="2" t="s">
        <v>11</v>
      </c>
      <c r="F4" s="2" t="s">
        <v>468</v>
      </c>
      <c r="G4" s="2" t="s">
        <v>2090</v>
      </c>
      <c r="H4" s="2" t="s">
        <v>469</v>
      </c>
      <c r="I4" s="2"/>
      <c r="J4" s="2" t="s">
        <v>470</v>
      </c>
      <c r="K4" s="2" t="s">
        <v>2091</v>
      </c>
      <c r="L4" s="2"/>
      <c r="M4" s="2" t="s">
        <v>458</v>
      </c>
      <c r="N4" s="2"/>
      <c r="O4" s="2" t="s">
        <v>8</v>
      </c>
      <c r="P4" s="2"/>
      <c r="Q4" s="2" t="s">
        <v>471</v>
      </c>
      <c r="R4" s="2"/>
      <c r="S4" s="2"/>
      <c r="T4" s="2" t="s">
        <v>2080</v>
      </c>
    </row>
    <row r="5" spans="1:20" customFormat="1" x14ac:dyDescent="0.25">
      <c r="A5" s="3" t="str">
        <f>INDEX('Orig (V1_BCK)'!$C:$C,MATCH($B5,'Orig (V1_BCK)'!$C:$C,0),1)</f>
        <v>A2422013-A2422013-</v>
      </c>
      <c r="B5" s="3" t="str">
        <f>_xlfn.TEXTJOIN("-",FALSE,$C5,$I5,$J5)</f>
        <v>A2422013-A2422013-</v>
      </c>
      <c r="C5" s="2" t="s">
        <v>575</v>
      </c>
      <c r="D5" s="2" t="s">
        <v>576</v>
      </c>
      <c r="E5" s="2" t="s">
        <v>577</v>
      </c>
      <c r="F5" s="2" t="s">
        <v>578</v>
      </c>
      <c r="G5" s="2" t="s">
        <v>2138</v>
      </c>
      <c r="H5" s="2" t="s">
        <v>579</v>
      </c>
      <c r="I5" s="2" t="s">
        <v>575</v>
      </c>
      <c r="J5" s="2"/>
      <c r="K5" s="2" t="s">
        <v>2139</v>
      </c>
      <c r="L5" s="2" t="s">
        <v>576</v>
      </c>
      <c r="M5" s="2"/>
      <c r="N5" s="2" t="s">
        <v>577</v>
      </c>
      <c r="O5" s="2"/>
      <c r="P5" s="2" t="s">
        <v>578</v>
      </c>
      <c r="Q5" s="2"/>
      <c r="R5" s="2"/>
      <c r="S5" s="2"/>
      <c r="T5" s="2" t="s">
        <v>2083</v>
      </c>
    </row>
    <row r="6" spans="1:20" customFormat="1" x14ac:dyDescent="0.25">
      <c r="A6" s="3" t="str">
        <f>INDEX('Orig (V1_BCK)'!$C:$C,MATCH($B6,'Orig (V1_BCK)'!$C:$C,0),1)</f>
        <v>A3167958-A3167958-</v>
      </c>
      <c r="B6" s="3" t="str">
        <f>_xlfn.TEXTJOIN("-",FALSE,$C6,$I6,$J6)</f>
        <v>A3167958-A3167958-</v>
      </c>
      <c r="C6" s="2" t="s">
        <v>640</v>
      </c>
      <c r="D6" s="2" t="s">
        <v>68</v>
      </c>
      <c r="E6" s="2" t="s">
        <v>549</v>
      </c>
      <c r="F6" s="2" t="s">
        <v>12</v>
      </c>
      <c r="G6" s="2" t="s">
        <v>2163</v>
      </c>
      <c r="H6" s="2" t="s">
        <v>767</v>
      </c>
      <c r="I6" s="2" t="s">
        <v>640</v>
      </c>
      <c r="J6" s="2"/>
      <c r="K6" s="2" t="s">
        <v>2210</v>
      </c>
      <c r="L6" s="2" t="s">
        <v>68</v>
      </c>
      <c r="M6" s="2"/>
      <c r="N6" s="2" t="s">
        <v>549</v>
      </c>
      <c r="O6" s="2"/>
      <c r="P6" s="2" t="s">
        <v>12</v>
      </c>
      <c r="Q6" s="2"/>
      <c r="R6" s="2"/>
      <c r="S6" s="2"/>
      <c r="T6" s="2" t="s">
        <v>2083</v>
      </c>
    </row>
    <row r="7" spans="1:20" customFormat="1" ht="30" x14ac:dyDescent="0.25">
      <c r="A7" s="3" t="str">
        <f>INDEX('Orig (V1_BCK)'!$C:$C,MATCH($B7,'Orig (V1_BCK)'!$C:$C,0),1)</f>
        <v>A3258905-A3258905-</v>
      </c>
      <c r="B7" s="3" t="str">
        <f>_xlfn.TEXTJOIN("-",FALSE,$C7,$I7,$J7)</f>
        <v>A3258905-A3258905-</v>
      </c>
      <c r="C7" s="2" t="s">
        <v>871</v>
      </c>
      <c r="D7" s="2" t="s">
        <v>467</v>
      </c>
      <c r="E7" s="2" t="s">
        <v>872</v>
      </c>
      <c r="F7" s="2" t="s">
        <v>873</v>
      </c>
      <c r="G7" s="2" t="s">
        <v>2241</v>
      </c>
      <c r="H7" s="2" t="s">
        <v>874</v>
      </c>
      <c r="I7" s="2" t="s">
        <v>871</v>
      </c>
      <c r="J7" s="2"/>
      <c r="K7" s="2" t="s">
        <v>2242</v>
      </c>
      <c r="L7" s="2" t="s">
        <v>467</v>
      </c>
      <c r="M7" s="2"/>
      <c r="N7" s="2" t="s">
        <v>872</v>
      </c>
      <c r="O7" s="2"/>
      <c r="P7" s="2" t="s">
        <v>873</v>
      </c>
      <c r="Q7" s="2"/>
      <c r="R7" s="2"/>
      <c r="S7" s="2"/>
      <c r="T7" s="2" t="s">
        <v>2080</v>
      </c>
    </row>
    <row r="8" spans="1:20" customFormat="1" ht="30" x14ac:dyDescent="0.25">
      <c r="A8" s="3" t="str">
        <f>INDEX('Orig (V1_BCK)'!$C:$C,MATCH($B8,'Orig (V1_BCK)'!$C:$C,0),1)</f>
        <v>A3417212-A3417212-</v>
      </c>
      <c r="B8" s="3" t="str">
        <f>_xlfn.TEXTJOIN("-",FALSE,$C8,$I8,$J8)</f>
        <v>A3417212-A3417212-</v>
      </c>
      <c r="C8" s="2" t="s">
        <v>884</v>
      </c>
      <c r="D8" s="2" t="s">
        <v>758</v>
      </c>
      <c r="E8" s="2" t="s">
        <v>44</v>
      </c>
      <c r="F8" s="2" t="s">
        <v>861</v>
      </c>
      <c r="G8" s="2" t="s">
        <v>2246</v>
      </c>
      <c r="H8" s="2" t="s">
        <v>885</v>
      </c>
      <c r="I8" s="2" t="s">
        <v>884</v>
      </c>
      <c r="J8" s="2"/>
      <c r="K8" s="2" t="s">
        <v>2247</v>
      </c>
      <c r="L8" s="2" t="s">
        <v>758</v>
      </c>
      <c r="M8" s="2"/>
      <c r="N8" s="2" t="s">
        <v>44</v>
      </c>
      <c r="O8" s="2"/>
      <c r="P8" s="2" t="s">
        <v>861</v>
      </c>
      <c r="Q8" s="2"/>
      <c r="R8" s="2"/>
      <c r="S8" s="2"/>
      <c r="T8" s="2" t="s">
        <v>2080</v>
      </c>
    </row>
    <row r="9" spans="1:20" customFormat="1" x14ac:dyDescent="0.25">
      <c r="A9" s="3" t="str">
        <f>INDEX('Orig (V1_BCK)'!$C:$C,MATCH($B9,'Orig (V1_BCK)'!$C:$C,0),1)</f>
        <v>A3485213-A3485213-</v>
      </c>
      <c r="B9" s="3" t="str">
        <f>_xlfn.TEXTJOIN("-",FALSE,$C9,$I9,$J9)</f>
        <v>A3485213-A3485213-</v>
      </c>
      <c r="C9" s="2" t="s">
        <v>685</v>
      </c>
      <c r="D9" s="2" t="s">
        <v>1</v>
      </c>
      <c r="E9" s="2" t="s">
        <v>686</v>
      </c>
      <c r="F9" s="2" t="s">
        <v>687</v>
      </c>
      <c r="G9" s="2" t="s">
        <v>2178</v>
      </c>
      <c r="H9" s="2" t="s">
        <v>688</v>
      </c>
      <c r="I9" s="2" t="s">
        <v>685</v>
      </c>
      <c r="J9" s="2"/>
      <c r="K9" s="2" t="s">
        <v>2179</v>
      </c>
      <c r="L9" s="2" t="s">
        <v>1</v>
      </c>
      <c r="M9" s="2"/>
      <c r="N9" s="2" t="s">
        <v>686</v>
      </c>
      <c r="O9" s="2"/>
      <c r="P9" s="2" t="s">
        <v>687</v>
      </c>
      <c r="Q9" s="2"/>
      <c r="R9" s="2"/>
      <c r="S9" s="2"/>
      <c r="T9" s="2" t="s">
        <v>2038</v>
      </c>
    </row>
    <row r="10" spans="1:20" customFormat="1" x14ac:dyDescent="0.25">
      <c r="A10" s="3" t="str">
        <f>INDEX('Orig (V1_BCK)'!$C:$C,MATCH($B10,'Orig (V1_BCK)'!$C:$C,0),1)</f>
        <v>A4544160--Y3223618</v>
      </c>
      <c r="B10" s="3" t="str">
        <f>_xlfn.TEXTJOIN("-",FALSE,$C10,$I10,$J10)</f>
        <v>A4544160--Y3223618</v>
      </c>
      <c r="C10" s="2" t="s">
        <v>894</v>
      </c>
      <c r="D10" s="2" t="s">
        <v>68</v>
      </c>
      <c r="E10" s="2" t="s">
        <v>895</v>
      </c>
      <c r="F10" s="2" t="s">
        <v>896</v>
      </c>
      <c r="G10" s="2" t="s">
        <v>2251</v>
      </c>
      <c r="H10" s="2" t="s">
        <v>2251</v>
      </c>
      <c r="I10" s="2"/>
      <c r="J10" s="2" t="s">
        <v>897</v>
      </c>
      <c r="K10" s="2" t="s">
        <v>2252</v>
      </c>
      <c r="L10" s="2"/>
      <c r="M10" s="2" t="s">
        <v>898</v>
      </c>
      <c r="N10" s="2"/>
      <c r="O10" s="2" t="s">
        <v>899</v>
      </c>
      <c r="P10" s="2"/>
      <c r="Q10" s="2" t="s">
        <v>900</v>
      </c>
      <c r="R10" s="2"/>
      <c r="S10" s="2"/>
      <c r="T10" s="2" t="s">
        <v>2083</v>
      </c>
    </row>
    <row r="11" spans="1:20" x14ac:dyDescent="0.25">
      <c r="A11" s="3" t="e">
        <f>INDEX('Orig (V1_BCK)'!$C:$C,MATCH($B11,'Orig (V1_BCK)'!$C:$C,0),1)</f>
        <v>#N/A</v>
      </c>
      <c r="B11" s="3" t="str">
        <f>_xlfn.TEXTJOIN("-",FALSE,$C11,$I11,$J11)</f>
        <v>A4598195--</v>
      </c>
      <c r="C11" s="2" t="s">
        <v>814</v>
      </c>
      <c r="D11" s="2" t="s">
        <v>815</v>
      </c>
      <c r="E11" s="2" t="s">
        <v>816</v>
      </c>
      <c r="F11" s="2" t="s">
        <v>817</v>
      </c>
      <c r="G11" s="2" t="s">
        <v>2226</v>
      </c>
      <c r="H11" s="2" t="s">
        <v>818</v>
      </c>
      <c r="I11" s="2"/>
      <c r="J11" s="2"/>
      <c r="K11" s="2" t="s">
        <v>2227</v>
      </c>
      <c r="L11" s="2"/>
      <c r="M11" s="2"/>
      <c r="N11" s="2"/>
      <c r="O11" s="2"/>
      <c r="P11" s="2"/>
      <c r="Q11" s="2"/>
      <c r="R11" s="2"/>
      <c r="S11" s="2"/>
      <c r="T11" s="2" t="s">
        <v>2080</v>
      </c>
    </row>
    <row r="12" spans="1:20" ht="30" x14ac:dyDescent="0.25">
      <c r="A12" s="3" t="e">
        <f>INDEX('Orig (V1_BCK)'!$C:$C,MATCH($B12,'Orig (V1_BCK)'!$C:$C,0),1)</f>
        <v>#N/A</v>
      </c>
      <c r="B12" s="3" t="str">
        <f>_xlfn.TEXTJOIN("-",FALSE,$C12,$I12,$J12)</f>
        <v>A5205505--</v>
      </c>
      <c r="C12" s="2" t="s">
        <v>1246</v>
      </c>
      <c r="D12" s="2" t="s">
        <v>1247</v>
      </c>
      <c r="E12" s="2" t="s">
        <v>612</v>
      </c>
      <c r="F12" s="2" t="s">
        <v>1248</v>
      </c>
      <c r="G12" s="2" t="s">
        <v>2392</v>
      </c>
      <c r="H12" s="2" t="s">
        <v>1249</v>
      </c>
      <c r="I12" s="2"/>
      <c r="J12" s="2"/>
      <c r="K12" s="2" t="s">
        <v>2393</v>
      </c>
      <c r="L12" s="2"/>
      <c r="M12" s="2"/>
      <c r="N12" s="2"/>
      <c r="O12" s="2"/>
      <c r="P12" s="2"/>
      <c r="Q12" s="2"/>
      <c r="R12" s="2"/>
      <c r="S12" s="2"/>
      <c r="T12" s="2" t="s">
        <v>107</v>
      </c>
    </row>
    <row r="13" spans="1:20" x14ac:dyDescent="0.25">
      <c r="A13" s="3" t="e">
        <f>INDEX('Orig (V1_BCK)'!$C:$C,MATCH($B13,'Orig (V1_BCK)'!$C:$C,0),1)</f>
        <v>#N/A</v>
      </c>
      <c r="B13" s="3" t="str">
        <f>_xlfn.TEXTJOIN("-",FALSE,$C13,$I13,$J13)</f>
        <v>A5336853--</v>
      </c>
      <c r="C13" s="2" t="s">
        <v>67</v>
      </c>
      <c r="D13" s="2" t="s">
        <v>68</v>
      </c>
      <c r="E13" s="2" t="s">
        <v>69</v>
      </c>
      <c r="F13" s="2" t="s">
        <v>70</v>
      </c>
      <c r="G13" s="2" t="s">
        <v>2061</v>
      </c>
      <c r="H13" s="2" t="s">
        <v>71</v>
      </c>
      <c r="I13" s="2"/>
      <c r="J13" s="2"/>
      <c r="K13" s="2" t="s">
        <v>2062</v>
      </c>
      <c r="L13" s="2"/>
      <c r="M13" s="2"/>
      <c r="N13" s="2"/>
      <c r="O13" s="2"/>
      <c r="P13" s="2"/>
      <c r="Q13" s="2"/>
      <c r="R13" s="2"/>
      <c r="S13" s="2"/>
      <c r="T13" s="2" t="s">
        <v>47</v>
      </c>
    </row>
    <row r="14" spans="1:20" ht="45" x14ac:dyDescent="0.25">
      <c r="A14" s="3" t="e">
        <f>INDEX('Orig (V1_BCK)'!$C:$C,MATCH($B14,'Orig (V1_BCK)'!$C:$C,0),1)</f>
        <v>#N/A</v>
      </c>
      <c r="B14" s="3" t="str">
        <f>_xlfn.TEXTJOIN("-",FALSE,$C14,$I14,$J14)</f>
        <v>A6363564-J0041893-</v>
      </c>
      <c r="C14" s="2" t="s">
        <v>1220</v>
      </c>
      <c r="D14" s="2" t="s">
        <v>912</v>
      </c>
      <c r="E14" s="2" t="s">
        <v>1221</v>
      </c>
      <c r="F14" s="2" t="s">
        <v>487</v>
      </c>
      <c r="G14" s="2" t="s">
        <v>2385</v>
      </c>
      <c r="H14" s="2" t="s">
        <v>1222</v>
      </c>
      <c r="I14" s="2" t="s">
        <v>1182</v>
      </c>
      <c r="J14" s="2"/>
      <c r="K14" s="2" t="s">
        <v>2374</v>
      </c>
      <c r="L14" s="2" t="s">
        <v>1183</v>
      </c>
      <c r="M14" s="2"/>
      <c r="N14" s="2" t="s">
        <v>1184</v>
      </c>
      <c r="O14" s="2"/>
      <c r="P14" s="2" t="s">
        <v>1145</v>
      </c>
      <c r="Q14" s="2"/>
      <c r="R14" s="2"/>
      <c r="S14" s="2"/>
      <c r="T14" s="2" t="s">
        <v>107</v>
      </c>
    </row>
    <row r="15" spans="1:20" ht="30" x14ac:dyDescent="0.25">
      <c r="A15" s="3" t="e">
        <f>INDEX('Orig (V1_BCK)'!$C:$C,MATCH($B15,'Orig (V1_BCK)'!$C:$C,0),1)</f>
        <v>#N/A</v>
      </c>
      <c r="B15" s="3" t="str">
        <f>_xlfn.TEXTJOIN("-",FALSE,$C15,$I15,$J15)</f>
        <v>A6363564-J0041893-</v>
      </c>
      <c r="C15" s="2" t="s">
        <v>1220</v>
      </c>
      <c r="D15" s="2" t="s">
        <v>912</v>
      </c>
      <c r="E15" s="2" t="s">
        <v>1221</v>
      </c>
      <c r="F15" s="2" t="s">
        <v>487</v>
      </c>
      <c r="G15" s="2" t="s">
        <v>2406</v>
      </c>
      <c r="H15" s="2" t="s">
        <v>1281</v>
      </c>
      <c r="I15" s="2" t="s">
        <v>1182</v>
      </c>
      <c r="J15" s="2"/>
      <c r="K15" s="2" t="s">
        <v>2374</v>
      </c>
      <c r="L15" s="2" t="s">
        <v>1183</v>
      </c>
      <c r="M15" s="2"/>
      <c r="N15" s="2" t="s">
        <v>1184</v>
      </c>
      <c r="O15" s="2"/>
      <c r="P15" s="2" t="s">
        <v>1145</v>
      </c>
      <c r="Q15" s="2"/>
      <c r="R15" s="2"/>
      <c r="S15" s="2"/>
      <c r="T15" s="2" t="s">
        <v>107</v>
      </c>
    </row>
    <row r="16" spans="1:20" ht="45" x14ac:dyDescent="0.25">
      <c r="A16" s="3" t="e">
        <f>INDEX('Orig (V1_BCK)'!$C:$C,MATCH($B16,'Orig (V1_BCK)'!$C:$C,0),1)</f>
        <v>#N/A</v>
      </c>
      <c r="B16" s="3" t="str">
        <f>_xlfn.TEXTJOIN("-",FALSE,$C16,$I16,$J16)</f>
        <v>A6363564-J0041893-</v>
      </c>
      <c r="C16" s="2" t="s">
        <v>1220</v>
      </c>
      <c r="D16" s="2" t="s">
        <v>912</v>
      </c>
      <c r="E16" s="2" t="s">
        <v>1221</v>
      </c>
      <c r="F16" s="2" t="s">
        <v>487</v>
      </c>
      <c r="G16" s="2" t="s">
        <v>2408</v>
      </c>
      <c r="H16" s="2" t="s">
        <v>1286</v>
      </c>
      <c r="I16" s="2" t="s">
        <v>1182</v>
      </c>
      <c r="J16" s="2"/>
      <c r="K16" s="2" t="s">
        <v>2374</v>
      </c>
      <c r="L16" s="2" t="s">
        <v>1183</v>
      </c>
      <c r="M16" s="2"/>
      <c r="N16" s="2" t="s">
        <v>1184</v>
      </c>
      <c r="O16" s="2"/>
      <c r="P16" s="2" t="s">
        <v>1145</v>
      </c>
      <c r="Q16" s="2"/>
      <c r="R16" s="2"/>
      <c r="S16" s="2"/>
      <c r="T16" s="2" t="s">
        <v>107</v>
      </c>
    </row>
    <row r="17" spans="1:20" ht="30" x14ac:dyDescent="0.25">
      <c r="A17" s="3" t="e">
        <f>INDEX('Orig (V1_BCK)'!$C:$C,MATCH($B17,'Orig (V1_BCK)'!$C:$C,0),1)</f>
        <v>#N/A</v>
      </c>
      <c r="B17" s="3" t="str">
        <f>_xlfn.TEXTJOIN("-",FALSE,$C17,$I17,$J17)</f>
        <v>A6363564-J0041893-</v>
      </c>
      <c r="C17" s="2" t="s">
        <v>1220</v>
      </c>
      <c r="D17" s="2" t="s">
        <v>912</v>
      </c>
      <c r="E17" s="2" t="s">
        <v>1221</v>
      </c>
      <c r="F17" s="2" t="s">
        <v>487</v>
      </c>
      <c r="G17" s="2" t="s">
        <v>2409</v>
      </c>
      <c r="H17" s="2" t="s">
        <v>1287</v>
      </c>
      <c r="I17" s="2" t="s">
        <v>1182</v>
      </c>
      <c r="J17" s="2"/>
      <c r="K17" s="2" t="s">
        <v>2374</v>
      </c>
      <c r="L17" s="2" t="s">
        <v>1183</v>
      </c>
      <c r="M17" s="2"/>
      <c r="N17" s="2" t="s">
        <v>1184</v>
      </c>
      <c r="O17" s="2"/>
      <c r="P17" s="2" t="s">
        <v>1145</v>
      </c>
      <c r="Q17" s="2"/>
      <c r="R17" s="2"/>
      <c r="S17" s="2"/>
      <c r="T17" s="2" t="s">
        <v>107</v>
      </c>
    </row>
    <row r="18" spans="1:20" customFormat="1" ht="30" x14ac:dyDescent="0.25">
      <c r="A18" s="3" t="str">
        <f>INDEX('Orig (V1_BCK)'!$C:$C,MATCH($B18,'Orig (V1_BCK)'!$C:$C,0),1)</f>
        <v>A6653585-A6653585-</v>
      </c>
      <c r="B18" s="3" t="str">
        <f>_xlfn.TEXTJOIN("-",FALSE,$C18,$I18,$J18)</f>
        <v>A6653585-A6653585-</v>
      </c>
      <c r="C18" s="2" t="s">
        <v>720</v>
      </c>
      <c r="D18" s="2" t="s">
        <v>68</v>
      </c>
      <c r="E18" s="2" t="s">
        <v>721</v>
      </c>
      <c r="F18" s="2" t="s">
        <v>722</v>
      </c>
      <c r="G18" s="2" t="s">
        <v>2192</v>
      </c>
      <c r="H18" s="2" t="s">
        <v>723</v>
      </c>
      <c r="I18" s="2" t="s">
        <v>720</v>
      </c>
      <c r="J18" s="2"/>
      <c r="K18" s="2" t="s">
        <v>2193</v>
      </c>
      <c r="L18" s="2" t="s">
        <v>68</v>
      </c>
      <c r="M18" s="2"/>
      <c r="N18" s="2" t="s">
        <v>721</v>
      </c>
      <c r="O18" s="2"/>
      <c r="P18" s="2" t="s">
        <v>722</v>
      </c>
      <c r="Q18" s="2"/>
      <c r="R18" s="2"/>
      <c r="S18" s="2"/>
      <c r="T18" s="2" t="s">
        <v>2038</v>
      </c>
    </row>
    <row r="19" spans="1:20" customFormat="1" ht="30" x14ac:dyDescent="0.25">
      <c r="A19" s="3" t="str">
        <f>INDEX('Orig (V1_BCK)'!$C:$C,MATCH($B19,'Orig (V1_BCK)'!$C:$C,0),1)</f>
        <v>A6687307--R3817235</v>
      </c>
      <c r="B19" s="3" t="str">
        <f>_xlfn.TEXTJOIN("-",FALSE,$C19,$I19,$J19)</f>
        <v>A6687307--R3817235</v>
      </c>
      <c r="C19" s="2" t="s">
        <v>927</v>
      </c>
      <c r="D19" s="2" t="s">
        <v>68</v>
      </c>
      <c r="E19" s="2" t="s">
        <v>504</v>
      </c>
      <c r="F19" s="2" t="s">
        <v>493</v>
      </c>
      <c r="G19" s="2" t="s">
        <v>2263</v>
      </c>
      <c r="H19" s="2" t="s">
        <v>928</v>
      </c>
      <c r="I19" s="2"/>
      <c r="J19" s="2" t="s">
        <v>929</v>
      </c>
      <c r="K19" s="2" t="s">
        <v>2264</v>
      </c>
      <c r="L19" s="2"/>
      <c r="M19" s="2" t="s">
        <v>930</v>
      </c>
      <c r="N19" s="2"/>
      <c r="O19" s="2" t="s">
        <v>622</v>
      </c>
      <c r="P19" s="2"/>
      <c r="Q19" s="2" t="s">
        <v>931</v>
      </c>
      <c r="R19" s="2"/>
      <c r="S19" s="2"/>
      <c r="T19" s="2" t="s">
        <v>2083</v>
      </c>
    </row>
    <row r="20" spans="1:20" customFormat="1" x14ac:dyDescent="0.25">
      <c r="A20" s="3" t="str">
        <f>INDEX('Orig (V1_BCK)'!$C:$C,MATCH($B20,'Orig (V1_BCK)'!$C:$C,0),1)</f>
        <v>A7005471--J6399199</v>
      </c>
      <c r="B20" s="3" t="str">
        <f>_xlfn.TEXTJOIN("-",FALSE,$C20,$I20,$J20)</f>
        <v>A7005471--J6399199</v>
      </c>
      <c r="C20" s="2" t="s">
        <v>780</v>
      </c>
      <c r="D20" s="2" t="s">
        <v>781</v>
      </c>
      <c r="E20" s="2" t="s">
        <v>493</v>
      </c>
      <c r="F20" s="2" t="s">
        <v>74</v>
      </c>
      <c r="G20" s="2" t="s">
        <v>2215</v>
      </c>
      <c r="H20" s="2" t="s">
        <v>693</v>
      </c>
      <c r="I20" s="2"/>
      <c r="J20" s="2" t="s">
        <v>775</v>
      </c>
      <c r="K20" s="2" t="s">
        <v>2213</v>
      </c>
      <c r="L20" s="2"/>
      <c r="M20" s="2" t="s">
        <v>776</v>
      </c>
      <c r="N20" s="2"/>
      <c r="O20" s="2" t="s">
        <v>777</v>
      </c>
      <c r="P20" s="2"/>
      <c r="Q20" s="2" t="s">
        <v>778</v>
      </c>
      <c r="R20" s="2"/>
      <c r="S20" s="2"/>
      <c r="T20" s="2" t="s">
        <v>2083</v>
      </c>
    </row>
    <row r="21" spans="1:20" customFormat="1" x14ac:dyDescent="0.25">
      <c r="A21" s="3" t="str">
        <f>INDEX('Orig (V1_BCK)'!$C:$C,MATCH($B21,'Orig (V1_BCK)'!$C:$C,0),1)</f>
        <v>A8353376--M3569866</v>
      </c>
      <c r="B21" s="3" t="str">
        <f>_xlfn.TEXTJOIN("-",FALSE,$C21,$I21,$J21)</f>
        <v>A8353376--M3569866</v>
      </c>
      <c r="C21" s="2" t="s">
        <v>0</v>
      </c>
      <c r="D21" s="2" t="s">
        <v>1</v>
      </c>
      <c r="E21" s="2" t="s">
        <v>2</v>
      </c>
      <c r="F21" s="2" t="s">
        <v>3</v>
      </c>
      <c r="G21" s="2" t="s">
        <v>2036</v>
      </c>
      <c r="H21" s="2" t="s">
        <v>4</v>
      </c>
      <c r="I21" s="2"/>
      <c r="J21" s="2" t="s">
        <v>5</v>
      </c>
      <c r="K21" s="2" t="s">
        <v>2037</v>
      </c>
      <c r="L21" s="2"/>
      <c r="M21" s="2" t="s">
        <v>6</v>
      </c>
      <c r="N21" s="2"/>
      <c r="O21" s="2" t="s">
        <v>7</v>
      </c>
      <c r="P21" s="2"/>
      <c r="Q21" s="2" t="s">
        <v>8</v>
      </c>
      <c r="R21" s="2"/>
      <c r="S21" s="2"/>
      <c r="T21" s="2" t="s">
        <v>2038</v>
      </c>
    </row>
    <row r="22" spans="1:20" customFormat="1" x14ac:dyDescent="0.25">
      <c r="A22" s="3" t="str">
        <f>INDEX('Orig (V1_BCK)'!$C:$C,MATCH($B22,'Orig (V1_BCK)'!$C:$C,0),1)</f>
        <v>A9859396--J6399199</v>
      </c>
      <c r="B22" s="3" t="str">
        <f>_xlfn.TEXTJOIN("-",FALSE,$C22,$I22,$J22)</f>
        <v>A9859396--J6399199</v>
      </c>
      <c r="C22" s="2" t="s">
        <v>911</v>
      </c>
      <c r="D22" s="2" t="s">
        <v>912</v>
      </c>
      <c r="E22" s="2" t="s">
        <v>913</v>
      </c>
      <c r="F22" s="2" t="s">
        <v>30</v>
      </c>
      <c r="G22" s="2" t="s">
        <v>2257</v>
      </c>
      <c r="H22" s="2" t="s">
        <v>914</v>
      </c>
      <c r="I22" s="2"/>
      <c r="J22" s="2" t="s">
        <v>775</v>
      </c>
      <c r="K22" s="2" t="s">
        <v>2213</v>
      </c>
      <c r="L22" s="2"/>
      <c r="M22" s="2" t="s">
        <v>776</v>
      </c>
      <c r="N22" s="2"/>
      <c r="O22" s="2" t="s">
        <v>777</v>
      </c>
      <c r="P22" s="2"/>
      <c r="Q22" s="2" t="s">
        <v>778</v>
      </c>
      <c r="R22" s="2"/>
      <c r="S22" s="2"/>
      <c r="T22" s="2" t="s">
        <v>2083</v>
      </c>
    </row>
    <row r="23" spans="1:20" ht="30" x14ac:dyDescent="0.25">
      <c r="A23" s="3" t="e">
        <f>INDEX('Orig (V1_BCK)'!$C:$C,MATCH($B23,'Orig (V1_BCK)'!$C:$C,0),1)</f>
        <v>#N/A</v>
      </c>
      <c r="B23" s="3" t="str">
        <f>_xlfn.TEXTJOIN("-",FALSE,$C23,$I23,$J23)</f>
        <v>B9324934--</v>
      </c>
      <c r="C23" s="2" t="s">
        <v>1252</v>
      </c>
      <c r="D23" s="2" t="s">
        <v>1253</v>
      </c>
      <c r="E23" s="2" t="s">
        <v>704</v>
      </c>
      <c r="F23" s="2" t="s">
        <v>11</v>
      </c>
      <c r="G23" s="2" t="s">
        <v>2396</v>
      </c>
      <c r="H23" s="2" t="s">
        <v>1254</v>
      </c>
      <c r="I23" s="2"/>
      <c r="J23" s="2"/>
      <c r="K23" s="2" t="s">
        <v>2377</v>
      </c>
      <c r="L23" s="2"/>
      <c r="M23" s="2"/>
      <c r="N23" s="2"/>
      <c r="O23" s="2"/>
      <c r="P23" s="2"/>
      <c r="Q23" s="2"/>
      <c r="R23" s="2"/>
      <c r="S23" s="2"/>
      <c r="T23" s="2" t="s">
        <v>2397</v>
      </c>
    </row>
    <row r="24" spans="1:20" customFormat="1" x14ac:dyDescent="0.25">
      <c r="A24" s="3" t="str">
        <f>INDEX('Orig (V1_BCK)'!$C:$C,MATCH($B24,'Orig (V1_BCK)'!$C:$C,0),1)</f>
        <v>C0100439-C0100439-</v>
      </c>
      <c r="B24" s="3" t="str">
        <f>_xlfn.TEXTJOIN("-",FALSE,$C24,$I24,$J24)</f>
        <v>C0100439-C0100439-</v>
      </c>
      <c r="C24" s="2" t="s">
        <v>461</v>
      </c>
      <c r="D24" s="2" t="s">
        <v>462</v>
      </c>
      <c r="E24" s="2" t="s">
        <v>463</v>
      </c>
      <c r="F24" s="2" t="s">
        <v>464</v>
      </c>
      <c r="G24" s="2" t="s">
        <v>2088</v>
      </c>
      <c r="H24" s="2" t="s">
        <v>465</v>
      </c>
      <c r="I24" s="2" t="s">
        <v>461</v>
      </c>
      <c r="J24" s="2"/>
      <c r="K24" s="2" t="s">
        <v>2089</v>
      </c>
      <c r="L24" s="2" t="s">
        <v>462</v>
      </c>
      <c r="M24" s="2"/>
      <c r="N24" s="2" t="s">
        <v>463</v>
      </c>
      <c r="O24" s="2"/>
      <c r="P24" s="2" t="s">
        <v>464</v>
      </c>
      <c r="Q24" s="2"/>
      <c r="R24" s="2"/>
      <c r="S24" s="2"/>
      <c r="T24" s="2" t="s">
        <v>47</v>
      </c>
    </row>
    <row r="25" spans="1:20" ht="30" x14ac:dyDescent="0.25">
      <c r="A25" s="3" t="e">
        <f>INDEX('Orig (V1_BCK)'!$C:$C,MATCH($B25,'Orig (V1_BCK)'!$C:$C,0),1)</f>
        <v>#N/A</v>
      </c>
      <c r="B25" s="3" t="str">
        <f>_xlfn.TEXTJOIN("-",FALSE,$C25,$I25,$J25)</f>
        <v>C3084002-J5768651-</v>
      </c>
      <c r="C25" s="2" t="s">
        <v>1240</v>
      </c>
      <c r="D25" s="2" t="s">
        <v>1241</v>
      </c>
      <c r="E25" s="2" t="s">
        <v>1242</v>
      </c>
      <c r="F25" s="2" t="s">
        <v>704</v>
      </c>
      <c r="G25" s="2" t="s">
        <v>2363</v>
      </c>
      <c r="H25" s="2" t="s">
        <v>1239</v>
      </c>
      <c r="I25" s="2" t="s">
        <v>660</v>
      </c>
      <c r="J25" s="2"/>
      <c r="K25" s="2" t="s">
        <v>2384</v>
      </c>
      <c r="L25" s="2" t="s">
        <v>661</v>
      </c>
      <c r="M25" s="2"/>
      <c r="N25" s="2" t="s">
        <v>662</v>
      </c>
      <c r="O25" s="2"/>
      <c r="P25" s="2" t="s">
        <v>663</v>
      </c>
      <c r="Q25" s="2"/>
      <c r="R25" s="2"/>
      <c r="S25" s="2"/>
      <c r="T25" s="2" t="s">
        <v>107</v>
      </c>
    </row>
    <row r="26" spans="1:20" ht="45" x14ac:dyDescent="0.25">
      <c r="A26" s="3" t="e">
        <f>INDEX('Orig (V1_BCK)'!$C:$C,MATCH($B26,'Orig (V1_BCK)'!$C:$C,0),1)</f>
        <v>#N/A</v>
      </c>
      <c r="B26" s="3" t="str">
        <f>_xlfn.TEXTJOIN("-",FALSE,$C26,$I26,$J26)</f>
        <v>C6644203-J5768651-</v>
      </c>
      <c r="C26" s="2" t="s">
        <v>1243</v>
      </c>
      <c r="D26" s="2" t="s">
        <v>1244</v>
      </c>
      <c r="E26" s="2" t="s">
        <v>12</v>
      </c>
      <c r="F26" s="2" t="s">
        <v>1245</v>
      </c>
      <c r="G26" s="2" t="s">
        <v>2367</v>
      </c>
      <c r="H26" s="2" t="s">
        <v>2391</v>
      </c>
      <c r="I26" s="2" t="s">
        <v>660</v>
      </c>
      <c r="J26" s="2"/>
      <c r="K26" s="2" t="s">
        <v>2384</v>
      </c>
      <c r="L26" s="2" t="s">
        <v>661</v>
      </c>
      <c r="M26" s="2"/>
      <c r="N26" s="2" t="s">
        <v>662</v>
      </c>
      <c r="O26" s="2"/>
      <c r="P26" s="2" t="s">
        <v>663</v>
      </c>
      <c r="Q26" s="2"/>
      <c r="R26" s="2"/>
      <c r="S26" s="2"/>
      <c r="T26" s="2" t="s">
        <v>107</v>
      </c>
    </row>
    <row r="27" spans="1:20" customFormat="1" ht="45" x14ac:dyDescent="0.25">
      <c r="A27" s="3" t="str">
        <f>INDEX('Orig (V1_BCK)'!$C:$C,MATCH($B27,'Orig (V1_BCK)'!$C:$C,0),1)</f>
        <v>C7169588-C7169588-</v>
      </c>
      <c r="B27" s="3" t="str">
        <f>_xlfn.TEXTJOIN("-",FALSE,$C27,$I27,$J27)</f>
        <v>C7169588-C7169588-</v>
      </c>
      <c r="C27" s="2" t="s">
        <v>920</v>
      </c>
      <c r="D27" s="2" t="s">
        <v>49</v>
      </c>
      <c r="E27" s="2" t="s">
        <v>8</v>
      </c>
      <c r="F27" s="2" t="s">
        <v>29</v>
      </c>
      <c r="G27" s="2" t="s">
        <v>2259</v>
      </c>
      <c r="H27" s="2" t="s">
        <v>921</v>
      </c>
      <c r="I27" s="2" t="s">
        <v>920</v>
      </c>
      <c r="J27" s="2"/>
      <c r="K27" s="2" t="s">
        <v>2260</v>
      </c>
      <c r="L27" s="2" t="s">
        <v>49</v>
      </c>
      <c r="M27" s="2"/>
      <c r="N27" s="2" t="s">
        <v>8</v>
      </c>
      <c r="O27" s="2"/>
      <c r="P27" s="2" t="s">
        <v>29</v>
      </c>
      <c r="Q27" s="2"/>
      <c r="R27" s="2"/>
      <c r="S27" s="2"/>
      <c r="T27" s="2" t="s">
        <v>2041</v>
      </c>
    </row>
    <row r="28" spans="1:20" customFormat="1" ht="30" x14ac:dyDescent="0.25">
      <c r="A28" s="3" t="str">
        <f>INDEX('Orig (V1_BCK)'!$C:$C,MATCH($B28,'Orig (V1_BCK)'!$C:$C,0),1)</f>
        <v>C9446654--J6399199</v>
      </c>
      <c r="B28" s="3" t="str">
        <f>_xlfn.TEXTJOIN("-",FALSE,$C28,$I28,$J28)</f>
        <v>C9446654--J6399199</v>
      </c>
      <c r="C28" s="2" t="s">
        <v>846</v>
      </c>
      <c r="D28" s="2" t="s">
        <v>847</v>
      </c>
      <c r="E28" s="2" t="s">
        <v>30</v>
      </c>
      <c r="F28" s="2" t="s">
        <v>848</v>
      </c>
      <c r="G28" s="2" t="s">
        <v>2234</v>
      </c>
      <c r="H28" s="2" t="s">
        <v>849</v>
      </c>
      <c r="I28" s="2"/>
      <c r="J28" s="2" t="s">
        <v>775</v>
      </c>
      <c r="K28" s="2" t="s">
        <v>2213</v>
      </c>
      <c r="L28" s="2"/>
      <c r="M28" s="2" t="s">
        <v>776</v>
      </c>
      <c r="N28" s="2"/>
      <c r="O28" s="2" t="s">
        <v>777</v>
      </c>
      <c r="P28" s="2"/>
      <c r="Q28" s="2" t="s">
        <v>778</v>
      </c>
      <c r="R28" s="2"/>
      <c r="S28" s="2"/>
      <c r="T28" s="2" t="s">
        <v>2083</v>
      </c>
    </row>
    <row r="29" spans="1:20" customFormat="1" ht="45" x14ac:dyDescent="0.25">
      <c r="A29" s="3" t="str">
        <f>INDEX('Orig (V1_BCK)'!$C:$C,MATCH($B29,'Orig (V1_BCK)'!$C:$C,0),1)</f>
        <v>C9612177-C9612177-</v>
      </c>
      <c r="B29" s="3" t="str">
        <f>_xlfn.TEXTJOIN("-",FALSE,$C29,$I29,$J29)</f>
        <v>C9612177-C9612177-</v>
      </c>
      <c r="C29" s="2" t="s">
        <v>48</v>
      </c>
      <c r="D29" s="2" t="s">
        <v>49</v>
      </c>
      <c r="E29" s="2" t="s">
        <v>50</v>
      </c>
      <c r="F29" s="2" t="s">
        <v>51</v>
      </c>
      <c r="G29" s="2" t="s">
        <v>2053</v>
      </c>
      <c r="H29" s="2" t="s">
        <v>52</v>
      </c>
      <c r="I29" s="2" t="s">
        <v>48</v>
      </c>
      <c r="J29" s="2"/>
      <c r="K29" s="2" t="s">
        <v>2054</v>
      </c>
      <c r="L29" s="2" t="s">
        <v>49</v>
      </c>
      <c r="M29" s="2"/>
      <c r="N29" s="2" t="s">
        <v>50</v>
      </c>
      <c r="O29" s="2"/>
      <c r="P29" s="2" t="s">
        <v>51</v>
      </c>
      <c r="Q29" s="2"/>
      <c r="R29" s="2"/>
      <c r="S29" s="2"/>
      <c r="T29" s="2" t="s">
        <v>47</v>
      </c>
    </row>
    <row r="30" spans="1:20" customFormat="1" x14ac:dyDescent="0.25">
      <c r="A30" s="3" t="str">
        <f>INDEX('Orig (V1_BCK)'!$C:$C,MATCH($B30,'Orig (V1_BCK)'!$C:$C,0),1)</f>
        <v>D0530111-D0530111-</v>
      </c>
      <c r="B30" s="3" t="str">
        <f>_xlfn.TEXTJOIN("-",FALSE,$C30,$I30,$J30)</f>
        <v>D0530111-D0530111-</v>
      </c>
      <c r="C30" s="2" t="s">
        <v>89</v>
      </c>
      <c r="D30" s="2" t="s">
        <v>90</v>
      </c>
      <c r="E30" s="2" t="s">
        <v>91</v>
      </c>
      <c r="F30" s="2" t="s">
        <v>92</v>
      </c>
      <c r="G30" s="2" t="s">
        <v>2069</v>
      </c>
      <c r="H30" s="2" t="s">
        <v>93</v>
      </c>
      <c r="I30" s="2" t="s">
        <v>89</v>
      </c>
      <c r="J30" s="2"/>
      <c r="K30" s="2" t="s">
        <v>2070</v>
      </c>
      <c r="L30" s="2" t="s">
        <v>90</v>
      </c>
      <c r="M30" s="2"/>
      <c r="N30" s="2" t="s">
        <v>91</v>
      </c>
      <c r="O30" s="2"/>
      <c r="P30" s="2" t="s">
        <v>92</v>
      </c>
      <c r="Q30" s="2"/>
      <c r="R30" s="2"/>
      <c r="S30" s="2"/>
      <c r="T30" s="2" t="s">
        <v>2071</v>
      </c>
    </row>
    <row r="31" spans="1:20" ht="60" x14ac:dyDescent="0.25">
      <c r="A31" s="3" t="e">
        <f>INDEX('Orig (V1_BCK)'!$C:$C,MATCH($B31,'Orig (V1_BCK)'!$C:$C,0),1)</f>
        <v>#N/A</v>
      </c>
      <c r="B31" s="3" t="str">
        <f>_xlfn.TEXTJOIN("-",FALSE,$C31,$I31,$J31)</f>
        <v>D3115430-B4939781-</v>
      </c>
      <c r="C31" s="2" t="s">
        <v>1258</v>
      </c>
      <c r="D31" s="2" t="s">
        <v>90</v>
      </c>
      <c r="E31" s="2" t="s">
        <v>1259</v>
      </c>
      <c r="F31" s="2" t="s">
        <v>1260</v>
      </c>
      <c r="G31" s="2" t="s">
        <v>2399</v>
      </c>
      <c r="H31" s="2" t="s">
        <v>1261</v>
      </c>
      <c r="I31" s="2" t="s">
        <v>1262</v>
      </c>
      <c r="J31" s="2"/>
      <c r="K31" s="2" t="s">
        <v>2400</v>
      </c>
      <c r="L31" s="2" t="s">
        <v>1263</v>
      </c>
      <c r="M31" s="2"/>
      <c r="N31" s="2" t="s">
        <v>1264</v>
      </c>
      <c r="O31" s="2"/>
      <c r="P31" s="2" t="s">
        <v>721</v>
      </c>
      <c r="Q31" s="2"/>
      <c r="R31" s="2"/>
      <c r="S31" s="2"/>
      <c r="T31" s="2" t="s">
        <v>2401</v>
      </c>
    </row>
    <row r="32" spans="1:20" customFormat="1" x14ac:dyDescent="0.25">
      <c r="A32" s="3" t="str">
        <f>INDEX('Orig (V1_BCK)'!$C:$C,MATCH($B32,'Orig (V1_BCK)'!$C:$C,0),1)</f>
        <v>D5004487--A3575764</v>
      </c>
      <c r="B32" s="3" t="str">
        <f>_xlfn.TEXTJOIN("-",FALSE,$C32,$I32,$J32)</f>
        <v>D5004487--A3575764</v>
      </c>
      <c r="C32" s="2" t="s">
        <v>673</v>
      </c>
      <c r="D32" s="2" t="s">
        <v>90</v>
      </c>
      <c r="E32" s="2" t="s">
        <v>674</v>
      </c>
      <c r="F32" s="2" t="s">
        <v>675</v>
      </c>
      <c r="G32" s="2" t="s">
        <v>2174</v>
      </c>
      <c r="H32" s="2" t="s">
        <v>2174</v>
      </c>
      <c r="I32" s="2"/>
      <c r="J32" s="2" t="s">
        <v>676</v>
      </c>
      <c r="K32" s="2" t="s">
        <v>2175</v>
      </c>
      <c r="L32" s="2"/>
      <c r="M32" s="2" t="s">
        <v>68</v>
      </c>
      <c r="N32" s="2"/>
      <c r="O32" s="2" t="s">
        <v>677</v>
      </c>
      <c r="P32" s="2"/>
      <c r="Q32" s="2" t="s">
        <v>677</v>
      </c>
      <c r="R32" s="2"/>
      <c r="S32" s="2"/>
      <c r="T32" s="2" t="s">
        <v>2083</v>
      </c>
    </row>
    <row r="33" spans="1:20" customFormat="1" ht="30" x14ac:dyDescent="0.25">
      <c r="A33" s="3" t="str">
        <f>INDEX('Orig (V1_BCK)'!$C:$C,MATCH($B33,'Orig (V1_BCK)'!$C:$C,0),1)</f>
        <v>D6725163--J5549918</v>
      </c>
      <c r="B33" s="3" t="str">
        <f>_xlfn.TEXTJOIN("-",FALSE,$C33,$I33,$J33)</f>
        <v>D6725163--J5549918</v>
      </c>
      <c r="C33" s="2" t="s">
        <v>442</v>
      </c>
      <c r="D33" s="2" t="s">
        <v>90</v>
      </c>
      <c r="E33" s="2" t="s">
        <v>443</v>
      </c>
      <c r="F33" s="2" t="s">
        <v>444</v>
      </c>
      <c r="G33" s="2" t="s">
        <v>2081</v>
      </c>
      <c r="H33" s="2" t="s">
        <v>445</v>
      </c>
      <c r="I33" s="2"/>
      <c r="J33" s="2" t="s">
        <v>446</v>
      </c>
      <c r="K33" s="2" t="s">
        <v>2082</v>
      </c>
      <c r="L33" s="2"/>
      <c r="M33" s="2" t="s">
        <v>438</v>
      </c>
      <c r="N33" s="2"/>
      <c r="O33" s="2" t="s">
        <v>447</v>
      </c>
      <c r="P33" s="2"/>
      <c r="Q33" s="2" t="s">
        <v>448</v>
      </c>
      <c r="R33" s="2"/>
      <c r="S33" s="2"/>
      <c r="T33" s="2" t="s">
        <v>2083</v>
      </c>
    </row>
    <row r="34" spans="1:20" customFormat="1" x14ac:dyDescent="0.25">
      <c r="A34" s="3" t="str">
        <f>INDEX('Orig (V1_BCK)'!$C:$C,MATCH($B34,'Orig (V1_BCK)'!$C:$C,0),1)</f>
        <v>D8102953--A3167958</v>
      </c>
      <c r="B34" s="3" t="str">
        <f>_xlfn.TEXTJOIN("-",FALSE,$C34,$I34,$J34)</f>
        <v>D8102953--A3167958</v>
      </c>
      <c r="C34" s="2" t="s">
        <v>724</v>
      </c>
      <c r="D34" s="2" t="s">
        <v>725</v>
      </c>
      <c r="E34" s="2" t="s">
        <v>726</v>
      </c>
      <c r="F34" s="2" t="s">
        <v>727</v>
      </c>
      <c r="G34" s="2" t="s">
        <v>2194</v>
      </c>
      <c r="H34" s="2" t="s">
        <v>2194</v>
      </c>
      <c r="I34" s="2"/>
      <c r="J34" s="2" t="s">
        <v>640</v>
      </c>
      <c r="K34" s="2" t="s">
        <v>2163</v>
      </c>
      <c r="L34" s="2"/>
      <c r="M34" s="2" t="s">
        <v>68</v>
      </c>
      <c r="N34" s="2"/>
      <c r="O34" s="2" t="s">
        <v>549</v>
      </c>
      <c r="P34" s="2"/>
      <c r="Q34" s="2" t="s">
        <v>12</v>
      </c>
      <c r="R34" s="2"/>
      <c r="S34" s="2"/>
      <c r="T34" s="2" t="s">
        <v>2083</v>
      </c>
    </row>
    <row r="35" spans="1:20" customFormat="1" ht="45" x14ac:dyDescent="0.25">
      <c r="A35" s="3" t="str">
        <f>INDEX('Orig (V1_BCK)'!$C:$C,MATCH($B35,'Orig (V1_BCK)'!$C:$C,0),1)</f>
        <v>D8399181-D8399181-</v>
      </c>
      <c r="B35" s="3" t="str">
        <f>_xlfn.TEXTJOIN("-",FALSE,$C35,$I35,$J35)</f>
        <v>D8399181-D8399181-</v>
      </c>
      <c r="C35" s="2" t="s">
        <v>606</v>
      </c>
      <c r="D35" s="2" t="s">
        <v>90</v>
      </c>
      <c r="E35" s="2" t="s">
        <v>607</v>
      </c>
      <c r="F35" s="2" t="s">
        <v>528</v>
      </c>
      <c r="G35" s="2" t="s">
        <v>2151</v>
      </c>
      <c r="H35" s="2" t="s">
        <v>608</v>
      </c>
      <c r="I35" s="2" t="s">
        <v>606</v>
      </c>
      <c r="J35" s="2"/>
      <c r="K35" s="2" t="s">
        <v>2152</v>
      </c>
      <c r="L35" s="2" t="s">
        <v>90</v>
      </c>
      <c r="M35" s="2"/>
      <c r="N35" s="2" t="s">
        <v>607</v>
      </c>
      <c r="O35" s="2"/>
      <c r="P35" s="2" t="s">
        <v>528</v>
      </c>
      <c r="Q35" s="2"/>
      <c r="R35" s="2"/>
      <c r="S35" s="2"/>
      <c r="T35" s="2" t="s">
        <v>2038</v>
      </c>
    </row>
    <row r="36" spans="1:20" customFormat="1" x14ac:dyDescent="0.25">
      <c r="A36" s="3" t="str">
        <f>INDEX('Orig (V1_BCK)'!$C:$C,MATCH($B36,'Orig (V1_BCK)'!$C:$C,0),1)</f>
        <v>E3234664--J2543295</v>
      </c>
      <c r="B36" s="3" t="str">
        <f>_xlfn.TEXTJOIN("-",FALSE,$C36,$I36,$J36)</f>
        <v>E3234664--J2543295</v>
      </c>
      <c r="C36" s="2" t="s">
        <v>916</v>
      </c>
      <c r="D36" s="2" t="s">
        <v>917</v>
      </c>
      <c r="E36" s="2" t="s">
        <v>918</v>
      </c>
      <c r="F36" s="2" t="s">
        <v>617</v>
      </c>
      <c r="G36" s="2" t="s">
        <v>2258</v>
      </c>
      <c r="H36" s="2" t="s">
        <v>919</v>
      </c>
      <c r="I36" s="2"/>
      <c r="J36" s="2" t="s">
        <v>795</v>
      </c>
      <c r="K36" s="2" t="s">
        <v>2220</v>
      </c>
      <c r="L36" s="2"/>
      <c r="M36" s="2" t="s">
        <v>796</v>
      </c>
      <c r="N36" s="2"/>
      <c r="O36" s="2" t="s">
        <v>797</v>
      </c>
      <c r="P36" s="2"/>
      <c r="Q36" s="2" t="s">
        <v>798</v>
      </c>
      <c r="R36" s="2"/>
      <c r="S36" s="2"/>
      <c r="T36" s="2" t="s">
        <v>2046</v>
      </c>
    </row>
    <row r="37" spans="1:20" ht="60" x14ac:dyDescent="0.25">
      <c r="A37" s="3" t="e">
        <f>INDEX('Orig (V1_BCK)'!$C:$C,MATCH($B37,'Orig (V1_BCK)'!$C:$C,0),1)</f>
        <v>#N/A</v>
      </c>
      <c r="B37" s="3" t="str">
        <f>_xlfn.TEXTJOIN("-",FALSE,$C37,$I37,$J37)</f>
        <v>E3965521-J0041893-</v>
      </c>
      <c r="C37" s="2" t="s">
        <v>1283</v>
      </c>
      <c r="D37" s="2" t="s">
        <v>1284</v>
      </c>
      <c r="E37" s="2" t="s">
        <v>44</v>
      </c>
      <c r="F37" s="2" t="s">
        <v>1285</v>
      </c>
      <c r="G37" s="2" t="s">
        <v>2407</v>
      </c>
      <c r="H37" s="2" t="s">
        <v>1282</v>
      </c>
      <c r="I37" s="2" t="s">
        <v>1182</v>
      </c>
      <c r="J37" s="2"/>
      <c r="K37" s="2" t="s">
        <v>2374</v>
      </c>
      <c r="L37" s="2" t="s">
        <v>1183</v>
      </c>
      <c r="M37" s="2"/>
      <c r="N37" s="2" t="s">
        <v>1184</v>
      </c>
      <c r="O37" s="2"/>
      <c r="P37" s="2" t="s">
        <v>1145</v>
      </c>
      <c r="Q37" s="2"/>
      <c r="R37" s="2"/>
      <c r="S37" s="2"/>
      <c r="T37" s="2" t="s">
        <v>2038</v>
      </c>
    </row>
    <row r="38" spans="1:20" ht="30" x14ac:dyDescent="0.25">
      <c r="A38" s="3" t="e">
        <f>INDEX('Orig (V1_BCK)'!$C:$C,MATCH($B38,'Orig (V1_BCK)'!$C:$C,0),1)</f>
        <v>#N/A</v>
      </c>
      <c r="B38" s="3" t="str">
        <f>_xlfn.TEXTJOIN("-",FALSE,$C38,$I38,$J38)</f>
        <v>E8315205-A5895481-</v>
      </c>
      <c r="C38" s="2" t="s">
        <v>1232</v>
      </c>
      <c r="D38" s="2" t="s">
        <v>1233</v>
      </c>
      <c r="E38" s="2" t="s">
        <v>74</v>
      </c>
      <c r="F38" s="2" t="s">
        <v>1171</v>
      </c>
      <c r="G38" s="2" t="s">
        <v>2389</v>
      </c>
      <c r="H38" s="2" t="s">
        <v>1234</v>
      </c>
      <c r="I38" s="2" t="s">
        <v>1235</v>
      </c>
      <c r="J38" s="2"/>
      <c r="K38" s="2" t="s">
        <v>2390</v>
      </c>
      <c r="L38" s="2" t="s">
        <v>1236</v>
      </c>
      <c r="M38" s="2"/>
      <c r="N38" s="2" t="s">
        <v>463</v>
      </c>
      <c r="O38" s="2"/>
      <c r="P38" s="2" t="s">
        <v>463</v>
      </c>
      <c r="Q38" s="2"/>
      <c r="R38" s="2"/>
      <c r="S38" s="2"/>
      <c r="T38" s="2" t="s">
        <v>47</v>
      </c>
    </row>
    <row r="39" spans="1:20" customFormat="1" x14ac:dyDescent="0.25">
      <c r="A39" s="3" t="str">
        <f>INDEX('Orig (V1_BCK)'!$C:$C,MATCH($B39,'Orig (V1_BCK)'!$C:$C,0),1)</f>
        <v>F1158861-F1158861-</v>
      </c>
      <c r="B39" s="3" t="str">
        <f>_xlfn.TEXTJOIN("-",FALSE,$C39,$I39,$J39)</f>
        <v>F1158861-F1158861-</v>
      </c>
      <c r="C39" s="2" t="s">
        <v>901</v>
      </c>
      <c r="D39" s="2" t="s">
        <v>43</v>
      </c>
      <c r="E39" s="2" t="s">
        <v>29</v>
      </c>
      <c r="F39" s="2" t="s">
        <v>902</v>
      </c>
      <c r="G39" s="2" t="s">
        <v>2253</v>
      </c>
      <c r="H39" s="2" t="s">
        <v>903</v>
      </c>
      <c r="I39" s="2" t="s">
        <v>901</v>
      </c>
      <c r="J39" s="2"/>
      <c r="K39" s="2" t="s">
        <v>2254</v>
      </c>
      <c r="L39" s="2" t="s">
        <v>43</v>
      </c>
      <c r="M39" s="2"/>
      <c r="N39" s="2" t="s">
        <v>29</v>
      </c>
      <c r="O39" s="2"/>
      <c r="P39" s="2" t="s">
        <v>902</v>
      </c>
      <c r="Q39" s="2"/>
      <c r="R39" s="2"/>
      <c r="S39" s="2"/>
      <c r="T39" s="2" t="s">
        <v>2038</v>
      </c>
    </row>
    <row r="40" spans="1:20" customFormat="1" ht="30" x14ac:dyDescent="0.25">
      <c r="A40" s="3" t="str">
        <f>INDEX('Orig (V1_BCK)'!$C:$C,MATCH($B40,'Orig (V1_BCK)'!$C:$C,0),1)</f>
        <v>F5049139-F5049139-</v>
      </c>
      <c r="B40" s="3" t="str">
        <f>_xlfn.TEXTJOIN("-",FALSE,$C40,$I40,$J40)</f>
        <v>F5049139-F5049139-</v>
      </c>
      <c r="C40" s="2" t="s">
        <v>449</v>
      </c>
      <c r="D40" s="2" t="s">
        <v>38</v>
      </c>
      <c r="E40" s="2" t="s">
        <v>450</v>
      </c>
      <c r="F40" s="2" t="s">
        <v>451</v>
      </c>
      <c r="G40" s="2" t="s">
        <v>2084</v>
      </c>
      <c r="H40" s="2" t="s">
        <v>452</v>
      </c>
      <c r="I40" s="2" t="s">
        <v>449</v>
      </c>
      <c r="J40" s="2"/>
      <c r="K40" s="2" t="s">
        <v>2085</v>
      </c>
      <c r="L40" s="2" t="s">
        <v>38</v>
      </c>
      <c r="M40" s="2"/>
      <c r="N40" s="2" t="s">
        <v>450</v>
      </c>
      <c r="O40" s="2"/>
      <c r="P40" s="2" t="s">
        <v>451</v>
      </c>
      <c r="Q40" s="2"/>
      <c r="R40" s="2"/>
      <c r="S40" s="2"/>
      <c r="T40" s="2" t="s">
        <v>2080</v>
      </c>
    </row>
    <row r="41" spans="1:20" customFormat="1" x14ac:dyDescent="0.25">
      <c r="A41" s="3" t="str">
        <f>INDEX('Orig (V1_BCK)'!$C:$C,MATCH($B41,'Orig (V1_BCK)'!$C:$C,0),1)</f>
        <v>F5762639--M1155913</v>
      </c>
      <c r="B41" s="3" t="str">
        <f>_xlfn.TEXTJOIN("-",FALSE,$C41,$I41,$J41)</f>
        <v>F5762639--M1155913</v>
      </c>
      <c r="C41" s="2" t="s">
        <v>875</v>
      </c>
      <c r="D41" s="2" t="s">
        <v>876</v>
      </c>
      <c r="E41" s="2" t="s">
        <v>877</v>
      </c>
      <c r="F41" s="2" t="s">
        <v>878</v>
      </c>
      <c r="G41" s="2" t="s">
        <v>2243</v>
      </c>
      <c r="H41" s="2" t="s">
        <v>2243</v>
      </c>
      <c r="I41" s="2"/>
      <c r="J41" s="2" t="s">
        <v>868</v>
      </c>
      <c r="K41" s="2" t="s">
        <v>2240</v>
      </c>
      <c r="L41" s="2"/>
      <c r="M41" s="2" t="s">
        <v>6</v>
      </c>
      <c r="N41" s="2"/>
      <c r="O41" s="2" t="s">
        <v>798</v>
      </c>
      <c r="P41" s="2"/>
      <c r="Q41" s="2" t="s">
        <v>869</v>
      </c>
      <c r="R41" s="2"/>
      <c r="S41" s="2"/>
      <c r="T41" s="2" t="s">
        <v>2083</v>
      </c>
    </row>
    <row r="42" spans="1:20" customFormat="1" ht="30" x14ac:dyDescent="0.25">
      <c r="A42" s="3" t="str">
        <f>INDEX('Orig (V1_BCK)'!$C:$C,MATCH($B42,'Orig (V1_BCK)'!$C:$C,0),1)</f>
        <v>F6446981--A3167958</v>
      </c>
      <c r="B42" s="3" t="str">
        <f>_xlfn.TEXTJOIN("-",FALSE,$C42,$I42,$J42)</f>
        <v>F6446981--A3167958</v>
      </c>
      <c r="C42" s="2" t="s">
        <v>636</v>
      </c>
      <c r="D42" s="2" t="s">
        <v>637</v>
      </c>
      <c r="E42" s="2" t="s">
        <v>496</v>
      </c>
      <c r="F42" s="2" t="s">
        <v>638</v>
      </c>
      <c r="G42" s="2" t="s">
        <v>2162</v>
      </c>
      <c r="H42" s="2" t="s">
        <v>639</v>
      </c>
      <c r="I42" s="2"/>
      <c r="J42" s="2" t="s">
        <v>640</v>
      </c>
      <c r="K42" s="2" t="s">
        <v>2163</v>
      </c>
      <c r="L42" s="2"/>
      <c r="M42" s="2" t="s">
        <v>68</v>
      </c>
      <c r="N42" s="2"/>
      <c r="O42" s="2" t="s">
        <v>549</v>
      </c>
      <c r="P42" s="2"/>
      <c r="Q42" s="2" t="s">
        <v>12</v>
      </c>
      <c r="R42" s="2"/>
      <c r="S42" s="2"/>
      <c r="T42" s="2" t="s">
        <v>2083</v>
      </c>
    </row>
    <row r="43" spans="1:20" customFormat="1" ht="30" x14ac:dyDescent="0.25">
      <c r="A43" s="3" t="str">
        <f>INDEX('Orig (V1_BCK)'!$C:$C,MATCH($B43,'Orig (V1_BCK)'!$C:$C,0),1)</f>
        <v>F7796330--B2149319</v>
      </c>
      <c r="B43" s="3" t="str">
        <f>_xlfn.TEXTJOIN("-",FALSE,$C43,$I43,$J43)</f>
        <v>F7796330--B2149319</v>
      </c>
      <c r="C43" s="2" t="s">
        <v>527</v>
      </c>
      <c r="D43" s="2" t="s">
        <v>38</v>
      </c>
      <c r="E43" s="2" t="s">
        <v>528</v>
      </c>
      <c r="F43" s="2" t="s">
        <v>529</v>
      </c>
      <c r="G43" s="2" t="s">
        <v>2117</v>
      </c>
      <c r="H43" s="2" t="s">
        <v>530</v>
      </c>
      <c r="I43" s="2"/>
      <c r="J43" s="2" t="s">
        <v>531</v>
      </c>
      <c r="K43" s="2" t="s">
        <v>2118</v>
      </c>
      <c r="L43" s="2"/>
      <c r="M43" s="2" t="s">
        <v>532</v>
      </c>
      <c r="N43" s="2"/>
      <c r="O43" s="2" t="s">
        <v>21</v>
      </c>
      <c r="P43" s="2"/>
      <c r="Q43" s="2" t="s">
        <v>533</v>
      </c>
      <c r="R43" s="2"/>
      <c r="S43" s="2"/>
      <c r="T43" s="2" t="s">
        <v>2071</v>
      </c>
    </row>
    <row r="44" spans="1:20" customFormat="1" ht="30" x14ac:dyDescent="0.25">
      <c r="A44" s="3" t="str">
        <f>INDEX('Orig (V1_BCK)'!$C:$C,MATCH($B44,'Orig (V1_BCK)'!$C:$C,0),1)</f>
        <v>F8146290-F8146290-</v>
      </c>
      <c r="B44" s="3" t="str">
        <f>_xlfn.TEXTJOIN("-",FALSE,$C44,$I44,$J44)</f>
        <v>F8146290-F8146290-</v>
      </c>
      <c r="C44" s="2" t="s">
        <v>37</v>
      </c>
      <c r="D44" s="2" t="s">
        <v>38</v>
      </c>
      <c r="E44" s="2" t="s">
        <v>39</v>
      </c>
      <c r="F44" s="2" t="s">
        <v>40</v>
      </c>
      <c r="G44" s="2" t="s">
        <v>2049</v>
      </c>
      <c r="H44" s="2" t="s">
        <v>41</v>
      </c>
      <c r="I44" s="2" t="s">
        <v>37</v>
      </c>
      <c r="J44" s="2"/>
      <c r="K44" s="2" t="s">
        <v>2050</v>
      </c>
      <c r="L44" s="2" t="s">
        <v>38</v>
      </c>
      <c r="M44" s="2"/>
      <c r="N44" s="2" t="s">
        <v>39</v>
      </c>
      <c r="O44" s="2"/>
      <c r="P44" s="2" t="s">
        <v>40</v>
      </c>
      <c r="Q44" s="2"/>
      <c r="R44" s="2"/>
      <c r="S44" s="2"/>
      <c r="T44" s="2" t="s">
        <v>2038</v>
      </c>
    </row>
    <row r="45" spans="1:20" customFormat="1" x14ac:dyDescent="0.25">
      <c r="A45" s="3" t="str">
        <f>INDEX('Orig (V1_BCK)'!$C:$C,MATCH($B45,'Orig (V1_BCK)'!$C:$C,0),1)</f>
        <v>F9009293-F9009293-</v>
      </c>
      <c r="B45" s="3" t="str">
        <f>_xlfn.TEXTJOIN("-",FALSE,$C45,$I45,$J45)</f>
        <v>F9009293-F9009293-</v>
      </c>
      <c r="C45" s="2" t="s">
        <v>42</v>
      </c>
      <c r="D45" s="2" t="s">
        <v>43</v>
      </c>
      <c r="E45" s="2" t="s">
        <v>44</v>
      </c>
      <c r="F45" s="2" t="s">
        <v>45</v>
      </c>
      <c r="G45" s="2" t="s">
        <v>2051</v>
      </c>
      <c r="H45" s="2" t="s">
        <v>46</v>
      </c>
      <c r="I45" s="2" t="s">
        <v>42</v>
      </c>
      <c r="J45" s="2"/>
      <c r="K45" s="2" t="s">
        <v>2052</v>
      </c>
      <c r="L45" s="2" t="s">
        <v>43</v>
      </c>
      <c r="M45" s="2"/>
      <c r="N45" s="2" t="s">
        <v>44</v>
      </c>
      <c r="O45" s="2"/>
      <c r="P45" s="2" t="s">
        <v>45</v>
      </c>
      <c r="Q45" s="2"/>
      <c r="R45" s="2"/>
      <c r="S45" s="2"/>
      <c r="T45" s="2" t="s">
        <v>47</v>
      </c>
    </row>
    <row r="46" spans="1:20" customFormat="1" x14ac:dyDescent="0.25">
      <c r="A46" s="3" t="str">
        <f>INDEX('Orig (V1_BCK)'!$C:$C,MATCH($B46,'Orig (V1_BCK)'!$C:$C,0),1)</f>
        <v>F9876087-F9876087-</v>
      </c>
      <c r="B46" s="3" t="str">
        <f>_xlfn.TEXTJOIN("-",FALSE,$C46,$I46,$J46)</f>
        <v>F9876087-F9876087-</v>
      </c>
      <c r="C46" s="2" t="s">
        <v>748</v>
      </c>
      <c r="D46" s="2" t="s">
        <v>43</v>
      </c>
      <c r="E46" s="2" t="s">
        <v>749</v>
      </c>
      <c r="F46" s="2" t="s">
        <v>750</v>
      </c>
      <c r="G46" s="2" t="s">
        <v>2202</v>
      </c>
      <c r="H46" s="2" t="s">
        <v>693</v>
      </c>
      <c r="I46" s="2" t="s">
        <v>748</v>
      </c>
      <c r="J46" s="2"/>
      <c r="K46" s="2" t="s">
        <v>2203</v>
      </c>
      <c r="L46" s="2" t="s">
        <v>43</v>
      </c>
      <c r="M46" s="2"/>
      <c r="N46" s="2" t="s">
        <v>749</v>
      </c>
      <c r="O46" s="2"/>
      <c r="P46" s="2" t="s">
        <v>750</v>
      </c>
      <c r="Q46" s="2"/>
      <c r="R46" s="2"/>
      <c r="S46" s="2"/>
      <c r="T46" s="2" t="s">
        <v>2038</v>
      </c>
    </row>
    <row r="47" spans="1:20" customFormat="1" ht="30" x14ac:dyDescent="0.25">
      <c r="A47" s="3" t="str">
        <f>INDEX('Orig (V1_BCK)'!$C:$C,MATCH($B47,'Orig (V1_BCK)'!$C:$C,0),1)</f>
        <v>G0003988-G0003988-</v>
      </c>
      <c r="B47" s="3" t="str">
        <f>_xlfn.TEXTJOIN("-",FALSE,$C47,$I47,$J47)</f>
        <v>G0003988-G0003988-</v>
      </c>
      <c r="C47" s="2" t="s">
        <v>694</v>
      </c>
      <c r="D47" s="2" t="s">
        <v>695</v>
      </c>
      <c r="E47" s="2" t="s">
        <v>493</v>
      </c>
      <c r="F47" s="2" t="s">
        <v>696</v>
      </c>
      <c r="G47" s="2" t="s">
        <v>2182</v>
      </c>
      <c r="H47" s="2" t="s">
        <v>697</v>
      </c>
      <c r="I47" s="2" t="s">
        <v>694</v>
      </c>
      <c r="J47" s="2"/>
      <c r="K47" s="2" t="s">
        <v>2183</v>
      </c>
      <c r="L47" s="2" t="s">
        <v>695</v>
      </c>
      <c r="M47" s="2"/>
      <c r="N47" s="2" t="s">
        <v>493</v>
      </c>
      <c r="O47" s="2"/>
      <c r="P47" s="2" t="s">
        <v>696</v>
      </c>
      <c r="Q47" s="2"/>
      <c r="R47" s="2"/>
      <c r="S47" s="2"/>
      <c r="T47" s="2" t="s">
        <v>2038</v>
      </c>
    </row>
    <row r="48" spans="1:20" customFormat="1" ht="30" x14ac:dyDescent="0.25">
      <c r="A48" s="3" t="str">
        <f>INDEX('Orig (V1_BCK)'!$C:$C,MATCH($B48,'Orig (V1_BCK)'!$C:$C,0),1)</f>
        <v>G0003988-J9873482-</v>
      </c>
      <c r="B48" s="3" t="str">
        <f>_xlfn.TEXTJOIN("-",FALSE,$C48,$I48,$J48)</f>
        <v>G0003988-J9873482-</v>
      </c>
      <c r="C48" s="2" t="s">
        <v>694</v>
      </c>
      <c r="D48" s="2" t="s">
        <v>695</v>
      </c>
      <c r="E48" s="2" t="s">
        <v>493</v>
      </c>
      <c r="F48" s="2" t="s">
        <v>696</v>
      </c>
      <c r="G48" s="2" t="s">
        <v>2182</v>
      </c>
      <c r="H48" s="2" t="s">
        <v>697</v>
      </c>
      <c r="I48" s="2" t="s">
        <v>698</v>
      </c>
      <c r="J48" s="2"/>
      <c r="K48" s="2" t="s">
        <v>2183</v>
      </c>
      <c r="L48" s="2" t="s">
        <v>699</v>
      </c>
      <c r="M48" s="2"/>
      <c r="N48" s="2" t="s">
        <v>700</v>
      </c>
      <c r="O48" s="2"/>
      <c r="P48" s="2" t="s">
        <v>701</v>
      </c>
      <c r="Q48" s="2"/>
      <c r="R48" s="2"/>
      <c r="S48" s="2"/>
      <c r="T48" s="2" t="s">
        <v>2038</v>
      </c>
    </row>
    <row r="49" spans="1:20" customFormat="1" x14ac:dyDescent="0.25">
      <c r="A49" s="3" t="str">
        <f>INDEX('Orig (V1_BCK)'!$C:$C,MATCH($B49,'Orig (V1_BCK)'!$C:$C,0),1)</f>
        <v>G1309777-G1309777-</v>
      </c>
      <c r="B49" s="3" t="str">
        <f>_xlfn.TEXTJOIN("-",FALSE,$C49,$I49,$J49)</f>
        <v>G1309777-G1309777-</v>
      </c>
      <c r="C49" s="2" t="s">
        <v>62</v>
      </c>
      <c r="D49" s="2" t="s">
        <v>63</v>
      </c>
      <c r="E49" s="2" t="s">
        <v>64</v>
      </c>
      <c r="F49" s="2" t="s">
        <v>65</v>
      </c>
      <c r="G49" s="2" t="s">
        <v>2059</v>
      </c>
      <c r="H49" s="2" t="s">
        <v>66</v>
      </c>
      <c r="I49" s="2" t="s">
        <v>62</v>
      </c>
      <c r="J49" s="2"/>
      <c r="K49" s="2" t="s">
        <v>2060</v>
      </c>
      <c r="L49" s="2" t="s">
        <v>63</v>
      </c>
      <c r="M49" s="2"/>
      <c r="N49" s="2" t="s">
        <v>64</v>
      </c>
      <c r="O49" s="2"/>
      <c r="P49" s="2" t="s">
        <v>65</v>
      </c>
      <c r="Q49" s="2"/>
      <c r="R49" s="2"/>
      <c r="S49" s="2"/>
      <c r="T49" s="2" t="s">
        <v>47</v>
      </c>
    </row>
    <row r="50" spans="1:20" customFormat="1" ht="30" x14ac:dyDescent="0.25">
      <c r="A50" s="3" t="str">
        <f>INDEX('Orig (V1_BCK)'!$C:$C,MATCH($B50,'Orig (V1_BCK)'!$C:$C,0),1)</f>
        <v>G2953728--I7600760</v>
      </c>
      <c r="B50" s="3" t="str">
        <f>_xlfn.TEXTJOIN("-",FALSE,$C50,$I50,$J50)</f>
        <v>G2953728--I7600760</v>
      </c>
      <c r="C50" s="2" t="s">
        <v>855</v>
      </c>
      <c r="D50" s="2" t="s">
        <v>856</v>
      </c>
      <c r="E50" s="2" t="s">
        <v>857</v>
      </c>
      <c r="F50" s="2" t="s">
        <v>858</v>
      </c>
      <c r="G50" s="2" t="s">
        <v>2237</v>
      </c>
      <c r="H50" s="2" t="s">
        <v>859</v>
      </c>
      <c r="I50" s="2"/>
      <c r="J50" s="2" t="s">
        <v>822</v>
      </c>
      <c r="K50" s="2" t="s">
        <v>2229</v>
      </c>
      <c r="L50" s="2"/>
      <c r="M50" s="2" t="s">
        <v>823</v>
      </c>
      <c r="N50" s="2"/>
      <c r="O50" s="2" t="s">
        <v>824</v>
      </c>
      <c r="P50" s="2"/>
      <c r="Q50" s="2" t="s">
        <v>825</v>
      </c>
      <c r="R50" s="2"/>
      <c r="S50" s="2"/>
      <c r="T50" s="2" t="s">
        <v>2083</v>
      </c>
    </row>
    <row r="51" spans="1:20" customFormat="1" ht="30" x14ac:dyDescent="0.25">
      <c r="A51" s="3" t="str">
        <f>INDEX('Orig (V1_BCK)'!$C:$C,MATCH($B51,'Orig (V1_BCK)'!$C:$C,0),1)</f>
        <v>G3229318--J2543295</v>
      </c>
      <c r="B51" s="3" t="str">
        <f>_xlfn.TEXTJOIN("-",FALSE,$C51,$I51,$J51)</f>
        <v>G3229318--J2543295</v>
      </c>
      <c r="C51" s="2" t="s">
        <v>791</v>
      </c>
      <c r="D51" s="2" t="s">
        <v>524</v>
      </c>
      <c r="E51" s="2" t="s">
        <v>792</v>
      </c>
      <c r="F51" s="2" t="s">
        <v>793</v>
      </c>
      <c r="G51" s="2" t="s">
        <v>2219</v>
      </c>
      <c r="H51" s="2" t="s">
        <v>794</v>
      </c>
      <c r="I51" s="2"/>
      <c r="J51" s="2" t="s">
        <v>795</v>
      </c>
      <c r="K51" s="2" t="s">
        <v>2220</v>
      </c>
      <c r="L51" s="2"/>
      <c r="M51" s="2" t="s">
        <v>796</v>
      </c>
      <c r="N51" s="2"/>
      <c r="O51" s="2" t="s">
        <v>797</v>
      </c>
      <c r="P51" s="2"/>
      <c r="Q51" s="2" t="s">
        <v>798</v>
      </c>
      <c r="R51" s="2"/>
      <c r="S51" s="2"/>
      <c r="T51" s="2" t="s">
        <v>2046</v>
      </c>
    </row>
    <row r="52" spans="1:20" customFormat="1" x14ac:dyDescent="0.25">
      <c r="A52" s="3" t="str">
        <f>INDEX('Orig (V1_BCK)'!$C:$C,MATCH($B52,'Orig (V1_BCK)'!$C:$C,0),1)</f>
        <v>G9554789-G9554789-</v>
      </c>
      <c r="B52" s="3" t="str">
        <f>_xlfn.TEXTJOIN("-",FALSE,$C52,$I52,$J52)</f>
        <v>G9554789-G9554789-</v>
      </c>
      <c r="C52" s="2" t="s">
        <v>523</v>
      </c>
      <c r="D52" s="2" t="s">
        <v>524</v>
      </c>
      <c r="E52" s="2" t="s">
        <v>3</v>
      </c>
      <c r="F52" s="2" t="s">
        <v>525</v>
      </c>
      <c r="G52" s="2" t="s">
        <v>2115</v>
      </c>
      <c r="H52" s="2" t="s">
        <v>526</v>
      </c>
      <c r="I52" s="2" t="s">
        <v>523</v>
      </c>
      <c r="J52" s="2"/>
      <c r="K52" s="2" t="s">
        <v>2116</v>
      </c>
      <c r="L52" s="2" t="s">
        <v>524</v>
      </c>
      <c r="M52" s="2"/>
      <c r="N52" s="2" t="s">
        <v>3</v>
      </c>
      <c r="O52" s="2"/>
      <c r="P52" s="2" t="s">
        <v>525</v>
      </c>
      <c r="Q52" s="2"/>
      <c r="R52" s="2"/>
      <c r="S52" s="2"/>
      <c r="T52" s="2" t="s">
        <v>2071</v>
      </c>
    </row>
    <row r="53" spans="1:20" customFormat="1" x14ac:dyDescent="0.25">
      <c r="A53" s="3" t="str">
        <f>INDEX('Orig (V1_BCK)'!$C:$C,MATCH($B53,'Orig (V1_BCK)'!$C:$C,0),1)</f>
        <v>H7461208--E3066917</v>
      </c>
      <c r="B53" s="3" t="str">
        <f>_xlfn.TEXTJOIN("-",FALSE,$C53,$I53,$J53)</f>
        <v>H7461208--E3066917</v>
      </c>
      <c r="C53" s="2" t="s">
        <v>904</v>
      </c>
      <c r="D53" s="2" t="s">
        <v>905</v>
      </c>
      <c r="E53" s="2" t="s">
        <v>906</v>
      </c>
      <c r="F53" s="2" t="s">
        <v>907</v>
      </c>
      <c r="G53" s="2" t="s">
        <v>2255</v>
      </c>
      <c r="H53" s="2" t="s">
        <v>908</v>
      </c>
      <c r="I53" s="2"/>
      <c r="J53" s="2" t="s">
        <v>909</v>
      </c>
      <c r="K53" s="2" t="s">
        <v>2256</v>
      </c>
      <c r="L53" s="2"/>
      <c r="M53" s="2" t="s">
        <v>910</v>
      </c>
      <c r="N53" s="2"/>
      <c r="O53" s="2" t="s">
        <v>642</v>
      </c>
      <c r="P53" s="2"/>
      <c r="Q53" s="2" t="s">
        <v>44</v>
      </c>
      <c r="R53" s="2"/>
      <c r="S53" s="2"/>
      <c r="T53" s="2" t="s">
        <v>2038</v>
      </c>
    </row>
    <row r="54" spans="1:20" customFormat="1" x14ac:dyDescent="0.25">
      <c r="A54" s="3" t="str">
        <f>INDEX('Orig (V1_BCK)'!$C:$C,MATCH($B54,'Orig (V1_BCK)'!$C:$C,0),1)</f>
        <v>I1096541-I1096541-</v>
      </c>
      <c r="B54" s="3" t="str">
        <f>_xlfn.TEXTJOIN("-",FALSE,$C54,$I54,$J54)</f>
        <v>I1096541-I1096541-</v>
      </c>
      <c r="C54" s="2" t="s">
        <v>584</v>
      </c>
      <c r="D54" s="2" t="s">
        <v>585</v>
      </c>
      <c r="E54" s="2" t="s">
        <v>586</v>
      </c>
      <c r="F54" s="2" t="s">
        <v>587</v>
      </c>
      <c r="G54" s="2" t="s">
        <v>2142</v>
      </c>
      <c r="H54" s="2" t="s">
        <v>588</v>
      </c>
      <c r="I54" s="2" t="s">
        <v>584</v>
      </c>
      <c r="J54" s="2"/>
      <c r="K54" s="2" t="s">
        <v>2143</v>
      </c>
      <c r="L54" s="2" t="s">
        <v>585</v>
      </c>
      <c r="M54" s="2"/>
      <c r="N54" s="2" t="s">
        <v>586</v>
      </c>
      <c r="O54" s="2"/>
      <c r="P54" s="2" t="s">
        <v>587</v>
      </c>
      <c r="Q54" s="2"/>
      <c r="R54" s="2"/>
      <c r="S54" s="2"/>
      <c r="T54" s="2" t="s">
        <v>2038</v>
      </c>
    </row>
    <row r="55" spans="1:20" ht="30" x14ac:dyDescent="0.25">
      <c r="A55" s="3" t="e">
        <f>INDEX('Orig (V1_BCK)'!$C:$C,MATCH($B55,'Orig (V1_BCK)'!$C:$C,0),1)</f>
        <v>#N/A</v>
      </c>
      <c r="B55" s="3" t="str">
        <f>_xlfn.TEXTJOIN("-",FALSE,$C55,$I55,$J55)</f>
        <v>I3493455--</v>
      </c>
      <c r="C55" s="2" t="s">
        <v>1199</v>
      </c>
      <c r="D55" s="2" t="s">
        <v>1200</v>
      </c>
      <c r="E55" s="2" t="s">
        <v>1201</v>
      </c>
      <c r="F55" s="2" t="s">
        <v>1202</v>
      </c>
      <c r="G55" s="2" t="s">
        <v>2380</v>
      </c>
      <c r="H55" s="2" t="s">
        <v>1203</v>
      </c>
      <c r="I55" s="2"/>
      <c r="J55" s="2"/>
      <c r="K55" s="2" t="s">
        <v>2377</v>
      </c>
      <c r="L55" s="2"/>
      <c r="M55" s="2"/>
      <c r="N55" s="2"/>
      <c r="O55" s="2"/>
      <c r="P55" s="2"/>
      <c r="Q55" s="2"/>
      <c r="R55" s="2"/>
      <c r="S55" s="2"/>
      <c r="T55" s="2" t="s">
        <v>2381</v>
      </c>
    </row>
    <row r="56" spans="1:20" customFormat="1" ht="30" x14ac:dyDescent="0.25">
      <c r="A56" s="3" t="str">
        <f>INDEX('Orig (V1_BCK)'!$C:$C,MATCH($B56,'Orig (V1_BCK)'!$C:$C,0),1)</f>
        <v>I6567006--J1842217</v>
      </c>
      <c r="B56" s="3" t="str">
        <f>_xlfn.TEXTJOIN("-",FALSE,$C56,$I56,$J56)</f>
        <v>I6567006--J1842217</v>
      </c>
      <c r="C56" s="2" t="s">
        <v>619</v>
      </c>
      <c r="D56" s="2" t="s">
        <v>620</v>
      </c>
      <c r="E56" s="2" t="s">
        <v>621</v>
      </c>
      <c r="F56" s="2" t="s">
        <v>622</v>
      </c>
      <c r="G56" s="2" t="s">
        <v>2156</v>
      </c>
      <c r="H56" s="2" t="s">
        <v>635</v>
      </c>
      <c r="I56" s="2"/>
      <c r="J56" s="2" t="s">
        <v>457</v>
      </c>
      <c r="K56" s="2" t="s">
        <v>2087</v>
      </c>
      <c r="L56" s="2"/>
      <c r="M56" s="2" t="s">
        <v>458</v>
      </c>
      <c r="N56" s="2"/>
      <c r="O56" s="2" t="s">
        <v>459</v>
      </c>
      <c r="P56" s="2"/>
      <c r="Q56" s="2" t="s">
        <v>460</v>
      </c>
      <c r="R56" s="2"/>
      <c r="S56" s="2"/>
      <c r="T56" s="2" t="s">
        <v>2083</v>
      </c>
    </row>
    <row r="57" spans="1:20" customFormat="1" ht="45" x14ac:dyDescent="0.25">
      <c r="A57" s="3" t="str">
        <f>INDEX('Orig (V1_BCK)'!$C:$C,MATCH($B57,'Orig (V1_BCK)'!$C:$C,0),1)</f>
        <v>I6825354-I6825354-</v>
      </c>
      <c r="B57" s="3" t="str">
        <f>_xlfn.TEXTJOIN("-",FALSE,$C57,$I57,$J57)</f>
        <v>I6825354-I6825354-</v>
      </c>
      <c r="C57" s="2" t="s">
        <v>491</v>
      </c>
      <c r="D57" s="2" t="s">
        <v>492</v>
      </c>
      <c r="E57" s="2" t="s">
        <v>493</v>
      </c>
      <c r="F57" s="2" t="s">
        <v>60</v>
      </c>
      <c r="G57" s="2" t="s">
        <v>2102</v>
      </c>
      <c r="H57" s="2" t="s">
        <v>494</v>
      </c>
      <c r="I57" s="2" t="s">
        <v>491</v>
      </c>
      <c r="J57" s="2"/>
      <c r="K57" s="2" t="s">
        <v>2103</v>
      </c>
      <c r="L57" s="2" t="s">
        <v>492</v>
      </c>
      <c r="M57" s="2"/>
      <c r="N57" s="2" t="s">
        <v>493</v>
      </c>
      <c r="O57" s="2"/>
      <c r="P57" s="2" t="s">
        <v>60</v>
      </c>
      <c r="Q57" s="2"/>
      <c r="R57" s="2"/>
      <c r="S57" s="2"/>
      <c r="T57" s="2" t="s">
        <v>2083</v>
      </c>
    </row>
    <row r="58" spans="1:20" customFormat="1" x14ac:dyDescent="0.25">
      <c r="A58" s="3" t="str">
        <f>INDEX('Orig (V1_BCK)'!$C:$C,MATCH($B58,'Orig (V1_BCK)'!$C:$C,0),1)</f>
        <v>I7600760-I7600760-</v>
      </c>
      <c r="B58" s="3" t="str">
        <f>_xlfn.TEXTJOIN("-",FALSE,$C58,$I58,$J58)</f>
        <v>I7600760-I7600760-</v>
      </c>
      <c r="C58" s="2" t="s">
        <v>822</v>
      </c>
      <c r="D58" s="2" t="s">
        <v>823</v>
      </c>
      <c r="E58" s="2" t="s">
        <v>824</v>
      </c>
      <c r="F58" s="2" t="s">
        <v>825</v>
      </c>
      <c r="G58" s="2" t="s">
        <v>2229</v>
      </c>
      <c r="H58" s="2" t="s">
        <v>879</v>
      </c>
      <c r="I58" s="2" t="s">
        <v>822</v>
      </c>
      <c r="J58" s="2"/>
      <c r="K58" s="2" t="s">
        <v>2244</v>
      </c>
      <c r="L58" s="2" t="s">
        <v>823</v>
      </c>
      <c r="M58" s="2"/>
      <c r="N58" s="2" t="s">
        <v>824</v>
      </c>
      <c r="O58" s="2"/>
      <c r="P58" s="2" t="s">
        <v>825</v>
      </c>
      <c r="Q58" s="2"/>
      <c r="R58" s="2"/>
      <c r="S58" s="2"/>
      <c r="T58" s="2" t="s">
        <v>2083</v>
      </c>
    </row>
    <row r="59" spans="1:20" customFormat="1" x14ac:dyDescent="0.25">
      <c r="A59" s="3" t="str">
        <f>INDEX('Orig (V1_BCK)'!$C:$C,MATCH($B59,'Orig (V1_BCK)'!$C:$C,0),1)</f>
        <v>I8301604-I8301604-</v>
      </c>
      <c r="B59" s="3" t="str">
        <f>_xlfn.TEXTJOIN("-",FALSE,$C59,$I59,$J59)</f>
        <v>I8301604-I8301604-</v>
      </c>
      <c r="C59" s="2" t="s">
        <v>72</v>
      </c>
      <c r="D59" s="2" t="s">
        <v>73</v>
      </c>
      <c r="E59" s="2" t="s">
        <v>74</v>
      </c>
      <c r="F59" s="2" t="s">
        <v>8</v>
      </c>
      <c r="G59" s="2" t="s">
        <v>2063</v>
      </c>
      <c r="H59" s="2" t="s">
        <v>75</v>
      </c>
      <c r="I59" s="2" t="s">
        <v>72</v>
      </c>
      <c r="J59" s="2"/>
      <c r="K59" s="2" t="s">
        <v>2064</v>
      </c>
      <c r="L59" s="2" t="s">
        <v>73</v>
      </c>
      <c r="M59" s="2"/>
      <c r="N59" s="2" t="s">
        <v>74</v>
      </c>
      <c r="O59" s="2"/>
      <c r="P59" s="2" t="s">
        <v>8</v>
      </c>
      <c r="Q59" s="2"/>
      <c r="R59" s="2"/>
      <c r="S59" s="2"/>
      <c r="T59" s="2" t="s">
        <v>47</v>
      </c>
    </row>
    <row r="60" spans="1:20" customFormat="1" x14ac:dyDescent="0.25">
      <c r="A60" s="3" t="str">
        <f>INDEX('Orig (V1_BCK)'!$C:$C,MATCH($B60,'Orig (V1_BCK)'!$C:$C,0),1)</f>
        <v>I9027151-I9027151-</v>
      </c>
      <c r="B60" s="3" t="str">
        <f>_xlfn.TEXTJOIN("-",FALSE,$C60,$I60,$J60)</f>
        <v>I9027151-I9027151-</v>
      </c>
      <c r="C60" s="2" t="s">
        <v>482</v>
      </c>
      <c r="D60" s="2" t="s">
        <v>73</v>
      </c>
      <c r="E60" s="2" t="s">
        <v>483</v>
      </c>
      <c r="F60" s="2" t="s">
        <v>60</v>
      </c>
      <c r="G60" s="2" t="s">
        <v>2097</v>
      </c>
      <c r="H60" s="2" t="s">
        <v>484</v>
      </c>
      <c r="I60" s="2" t="s">
        <v>482</v>
      </c>
      <c r="J60" s="2"/>
      <c r="K60" s="2" t="s">
        <v>2098</v>
      </c>
      <c r="L60" s="2" t="s">
        <v>73</v>
      </c>
      <c r="M60" s="2"/>
      <c r="N60" s="2" t="s">
        <v>483</v>
      </c>
      <c r="O60" s="2"/>
      <c r="P60" s="2" t="s">
        <v>60</v>
      </c>
      <c r="Q60" s="2"/>
      <c r="R60" s="2"/>
      <c r="S60" s="2"/>
      <c r="T60" s="2" t="s">
        <v>2080</v>
      </c>
    </row>
    <row r="61" spans="1:20" customFormat="1" ht="30" x14ac:dyDescent="0.25">
      <c r="A61" s="3" t="str">
        <f>INDEX('Orig (V1_BCK)'!$C:$C,MATCH($B61,'Orig (V1_BCK)'!$C:$C,0),1)</f>
        <v>J0469011--A4621755</v>
      </c>
      <c r="B61" s="3" t="str">
        <f>_xlfn.TEXTJOIN("-",FALSE,$C61,$I61,$J61)</f>
        <v>J0469011--A4621755</v>
      </c>
      <c r="C61" s="2" t="s">
        <v>755</v>
      </c>
      <c r="D61" s="2" t="s">
        <v>147</v>
      </c>
      <c r="E61" s="2" t="s">
        <v>444</v>
      </c>
      <c r="F61" s="2" t="s">
        <v>44</v>
      </c>
      <c r="G61" s="2" t="s">
        <v>2206</v>
      </c>
      <c r="H61" s="2" t="s">
        <v>756</v>
      </c>
      <c r="I61" s="2"/>
      <c r="J61" s="2" t="s">
        <v>757</v>
      </c>
      <c r="K61" s="2" t="s">
        <v>2207</v>
      </c>
      <c r="L61" s="2"/>
      <c r="M61" s="2" t="s">
        <v>758</v>
      </c>
      <c r="N61" s="2"/>
      <c r="O61" s="2" t="s">
        <v>759</v>
      </c>
      <c r="P61" s="2"/>
      <c r="Q61" s="2" t="s">
        <v>760</v>
      </c>
      <c r="R61" s="2"/>
      <c r="S61" s="2"/>
      <c r="T61" s="2" t="s">
        <v>2038</v>
      </c>
    </row>
    <row r="62" spans="1:20" customFormat="1" ht="30" x14ac:dyDescent="0.25">
      <c r="A62" s="3" t="str">
        <f>INDEX('Orig (V1_BCK)'!$C:$C,MATCH($B62,'Orig (V1_BCK)'!$C:$C,0),1)</f>
        <v>J0717255--I6567006</v>
      </c>
      <c r="B62" s="3" t="str">
        <f>_xlfn.TEXTJOIN("-",FALSE,$C62,$I62,$J62)</f>
        <v>J0717255--I6567006</v>
      </c>
      <c r="C62" s="2" t="s">
        <v>615</v>
      </c>
      <c r="D62" s="2" t="s">
        <v>490</v>
      </c>
      <c r="E62" s="2" t="s">
        <v>616</v>
      </c>
      <c r="F62" s="2" t="s">
        <v>617</v>
      </c>
      <c r="G62" s="2" t="s">
        <v>2155</v>
      </c>
      <c r="H62" s="2" t="s">
        <v>618</v>
      </c>
      <c r="I62" s="2"/>
      <c r="J62" s="2" t="s">
        <v>619</v>
      </c>
      <c r="K62" s="2" t="s">
        <v>2156</v>
      </c>
      <c r="L62" s="2"/>
      <c r="M62" s="2" t="s">
        <v>620</v>
      </c>
      <c r="N62" s="2"/>
      <c r="O62" s="2" t="s">
        <v>621</v>
      </c>
      <c r="P62" s="2"/>
      <c r="Q62" s="2" t="s">
        <v>622</v>
      </c>
      <c r="R62" s="2"/>
      <c r="S62" s="2"/>
      <c r="T62" s="2" t="s">
        <v>2083</v>
      </c>
    </row>
    <row r="63" spans="1:20" customFormat="1" x14ac:dyDescent="0.25">
      <c r="A63" s="3" t="str">
        <f>INDEX('Orig (V1_BCK)'!$C:$C,MATCH($B63,'Orig (V1_BCK)'!$C:$C,0),1)</f>
        <v>J1776207-J1776207-</v>
      </c>
      <c r="B63" s="3" t="str">
        <f>_xlfn.TEXTJOIN("-",FALSE,$C63,$I63,$J63)</f>
        <v>J1776207-J1776207-</v>
      </c>
      <c r="C63" s="2" t="s">
        <v>502</v>
      </c>
      <c r="D63" s="2" t="s">
        <v>438</v>
      </c>
      <c r="E63" s="2" t="s">
        <v>503</v>
      </c>
      <c r="F63" s="2" t="s">
        <v>504</v>
      </c>
      <c r="G63" s="2" t="s">
        <v>2107</v>
      </c>
      <c r="H63" s="2" t="s">
        <v>505</v>
      </c>
      <c r="I63" s="2" t="s">
        <v>502</v>
      </c>
      <c r="J63" s="2"/>
      <c r="K63" s="2" t="s">
        <v>2108</v>
      </c>
      <c r="L63" s="2" t="s">
        <v>438</v>
      </c>
      <c r="M63" s="2"/>
      <c r="N63" s="2" t="s">
        <v>503</v>
      </c>
      <c r="O63" s="2"/>
      <c r="P63" s="2" t="s">
        <v>504</v>
      </c>
      <c r="Q63" s="2"/>
      <c r="R63" s="2"/>
      <c r="S63" s="2"/>
      <c r="T63" s="2" t="s">
        <v>2071</v>
      </c>
    </row>
    <row r="64" spans="1:20" customFormat="1" ht="30" x14ac:dyDescent="0.25">
      <c r="A64" s="3" t="str">
        <f>INDEX('Orig (V1_BCK)'!$C:$C,MATCH($B64,'Orig (V1_BCK)'!$C:$C,0),1)</f>
        <v>J1842217-J1842217-</v>
      </c>
      <c r="B64" s="3" t="str">
        <f>_xlfn.TEXTJOIN("-",FALSE,$C64,$I64,$J64)</f>
        <v>J1842217-J1842217-</v>
      </c>
      <c r="C64" s="2" t="s">
        <v>457</v>
      </c>
      <c r="D64" s="2" t="s">
        <v>458</v>
      </c>
      <c r="E64" s="2" t="s">
        <v>459</v>
      </c>
      <c r="F64" s="2" t="s">
        <v>460</v>
      </c>
      <c r="G64" s="2" t="s">
        <v>2087</v>
      </c>
      <c r="H64" s="2" t="s">
        <v>614</v>
      </c>
      <c r="I64" s="2" t="s">
        <v>457</v>
      </c>
      <c r="J64" s="2"/>
      <c r="K64" s="2" t="s">
        <v>2154</v>
      </c>
      <c r="L64" s="2" t="s">
        <v>458</v>
      </c>
      <c r="M64" s="2"/>
      <c r="N64" s="2" t="s">
        <v>459</v>
      </c>
      <c r="O64" s="2"/>
      <c r="P64" s="2" t="s">
        <v>460</v>
      </c>
      <c r="Q64" s="2"/>
      <c r="R64" s="2"/>
      <c r="S64" s="2"/>
      <c r="T64" s="2" t="s">
        <v>2083</v>
      </c>
    </row>
    <row r="65" spans="1:20" customFormat="1" ht="30" x14ac:dyDescent="0.25">
      <c r="A65" s="3" t="str">
        <f>INDEX('Orig (V1_BCK)'!$C:$C,MATCH($B65,'Orig (V1_BCK)'!$C:$C,0),1)</f>
        <v>J2161690-J2161690-</v>
      </c>
      <c r="B65" s="3" t="str">
        <f>_xlfn.TEXTJOIN("-",FALSE,$C65,$I65,$J65)</f>
        <v>J2161690-J2161690-</v>
      </c>
      <c r="C65" s="2" t="s">
        <v>470</v>
      </c>
      <c r="D65" s="2" t="s">
        <v>458</v>
      </c>
      <c r="E65" s="2" t="s">
        <v>8</v>
      </c>
      <c r="F65" s="2" t="s">
        <v>471</v>
      </c>
      <c r="G65" s="2" t="s">
        <v>2091</v>
      </c>
      <c r="H65" s="2" t="s">
        <v>485</v>
      </c>
      <c r="I65" s="2" t="s">
        <v>470</v>
      </c>
      <c r="J65" s="2"/>
      <c r="K65" s="2" t="s">
        <v>2099</v>
      </c>
      <c r="L65" s="2" t="s">
        <v>458</v>
      </c>
      <c r="M65" s="2"/>
      <c r="N65" s="2" t="s">
        <v>8</v>
      </c>
      <c r="O65" s="2"/>
      <c r="P65" s="2" t="s">
        <v>471</v>
      </c>
      <c r="Q65" s="2"/>
      <c r="R65" s="2"/>
      <c r="S65" s="2"/>
      <c r="T65" s="2" t="s">
        <v>2080</v>
      </c>
    </row>
    <row r="66" spans="1:20" customFormat="1" ht="30" x14ac:dyDescent="0.25">
      <c r="A66" s="3" t="str">
        <f>INDEX('Orig (V1_BCK)'!$C:$C,MATCH($B66,'Orig (V1_BCK)'!$C:$C,0),1)</f>
        <v>J2702276--J7231919</v>
      </c>
      <c r="B66" s="3" t="str">
        <f>_xlfn.TEXTJOIN("-",FALSE,$C66,$I66,$J66)</f>
        <v>J2702276--J7231919</v>
      </c>
      <c r="C66" s="2" t="s">
        <v>678</v>
      </c>
      <c r="D66" s="2" t="s">
        <v>679</v>
      </c>
      <c r="E66" s="2" t="s">
        <v>493</v>
      </c>
      <c r="F66" s="2" t="s">
        <v>680</v>
      </c>
      <c r="G66" s="2" t="s">
        <v>2176</v>
      </c>
      <c r="H66" s="2" t="s">
        <v>681</v>
      </c>
      <c r="I66" s="2"/>
      <c r="J66" s="2" t="s">
        <v>682</v>
      </c>
      <c r="K66" s="2" t="s">
        <v>2177</v>
      </c>
      <c r="L66" s="2"/>
      <c r="M66" s="2" t="s">
        <v>438</v>
      </c>
      <c r="N66" s="2"/>
      <c r="O66" s="2" t="s">
        <v>683</v>
      </c>
      <c r="P66" s="2"/>
      <c r="Q66" s="2" t="s">
        <v>684</v>
      </c>
      <c r="R66" s="2"/>
      <c r="S66" s="2"/>
      <c r="T66" s="2" t="s">
        <v>2046</v>
      </c>
    </row>
    <row r="67" spans="1:20" customFormat="1" x14ac:dyDescent="0.25">
      <c r="A67" s="3" t="str">
        <f>INDEX('Orig (V1_BCK)'!$C:$C,MATCH($B67,'Orig (V1_BCK)'!$C:$C,0),1)</f>
        <v>J2778182--V9086179</v>
      </c>
      <c r="B67" s="3" t="str">
        <f>_xlfn.TEXTJOIN("-",FALSE,$C67,$I67,$J67)</f>
        <v>J2778182--V9086179</v>
      </c>
      <c r="C67" s="2" t="s">
        <v>707</v>
      </c>
      <c r="D67" s="2" t="s">
        <v>173</v>
      </c>
      <c r="E67" s="2" t="s">
        <v>557</v>
      </c>
      <c r="F67" s="2" t="s">
        <v>708</v>
      </c>
      <c r="G67" s="2" t="s">
        <v>2186</v>
      </c>
      <c r="H67" s="2" t="s">
        <v>709</v>
      </c>
      <c r="I67" s="2"/>
      <c r="J67" s="2" t="s">
        <v>710</v>
      </c>
      <c r="K67" s="2" t="s">
        <v>2187</v>
      </c>
      <c r="L67" s="2"/>
      <c r="M67" s="2" t="s">
        <v>711</v>
      </c>
      <c r="N67" s="2"/>
      <c r="O67" s="2" t="s">
        <v>700</v>
      </c>
      <c r="P67" s="2"/>
      <c r="Q67" s="2" t="s">
        <v>712</v>
      </c>
      <c r="R67" s="2"/>
      <c r="S67" s="2"/>
      <c r="T67" s="2" t="s">
        <v>2083</v>
      </c>
    </row>
    <row r="68" spans="1:20" ht="60" x14ac:dyDescent="0.25">
      <c r="A68" s="3" t="e">
        <f>INDEX('Orig (V1_BCK)'!$C:$C,MATCH($B68,'Orig (V1_BCK)'!$C:$C,0),1)</f>
        <v>#N/A</v>
      </c>
      <c r="B68" s="3" t="str">
        <f>_xlfn.TEXTJOIN("-",FALSE,$C68,$I68,$J68)</f>
        <v>J3003048-B4939781-</v>
      </c>
      <c r="C68" s="2" t="s">
        <v>1265</v>
      </c>
      <c r="D68" s="2" t="s">
        <v>690</v>
      </c>
      <c r="E68" s="2" t="s">
        <v>1266</v>
      </c>
      <c r="F68" s="2" t="s">
        <v>1267</v>
      </c>
      <c r="G68" s="2" t="s">
        <v>2399</v>
      </c>
      <c r="H68" s="2" t="s">
        <v>1261</v>
      </c>
      <c r="I68" s="2" t="s">
        <v>1262</v>
      </c>
      <c r="J68" s="2"/>
      <c r="K68" s="2" t="s">
        <v>2400</v>
      </c>
      <c r="L68" s="2" t="s">
        <v>1263</v>
      </c>
      <c r="M68" s="2"/>
      <c r="N68" s="2" t="s">
        <v>1264</v>
      </c>
      <c r="O68" s="2"/>
      <c r="P68" s="2" t="s">
        <v>721</v>
      </c>
      <c r="Q68" s="2"/>
      <c r="R68" s="2"/>
      <c r="S68" s="2"/>
      <c r="T68" s="2" t="s">
        <v>47</v>
      </c>
    </row>
    <row r="69" spans="1:20" customFormat="1" x14ac:dyDescent="0.25">
      <c r="A69" s="3" t="str">
        <f>INDEX('Orig (V1_BCK)'!$C:$C,MATCH($B69,'Orig (V1_BCK)'!$C:$C,0),1)</f>
        <v>J3490141--I6825354</v>
      </c>
      <c r="B69" s="3" t="str">
        <f>_xlfn.TEXTJOIN("-",FALSE,$C69,$I69,$J69)</f>
        <v>J3490141--I6825354</v>
      </c>
      <c r="C69" s="2" t="s">
        <v>594</v>
      </c>
      <c r="D69" s="2" t="s">
        <v>438</v>
      </c>
      <c r="E69" s="2" t="s">
        <v>595</v>
      </c>
      <c r="F69" s="2" t="s">
        <v>596</v>
      </c>
      <c r="G69" s="2" t="s">
        <v>2146</v>
      </c>
      <c r="H69" s="2" t="s">
        <v>597</v>
      </c>
      <c r="I69" s="2"/>
      <c r="J69" s="2" t="s">
        <v>491</v>
      </c>
      <c r="K69" s="2" t="s">
        <v>2102</v>
      </c>
      <c r="L69" s="2"/>
      <c r="M69" s="2" t="s">
        <v>492</v>
      </c>
      <c r="N69" s="2"/>
      <c r="O69" s="2" t="s">
        <v>493</v>
      </c>
      <c r="P69" s="2"/>
      <c r="Q69" s="2" t="s">
        <v>60</v>
      </c>
      <c r="R69" s="2"/>
      <c r="S69" s="2"/>
      <c r="T69" s="2" t="s">
        <v>2083</v>
      </c>
    </row>
    <row r="70" spans="1:20" customFormat="1" ht="30" x14ac:dyDescent="0.25">
      <c r="A70" s="3" t="str">
        <f>INDEX('Orig (V1_BCK)'!$C:$C,MATCH($B70,'Orig (V1_BCK)'!$C:$C,0),1)</f>
        <v>J4045964-J4045964-</v>
      </c>
      <c r="B70" s="3" t="str">
        <f>_xlfn.TEXTJOIN("-",FALSE,$C70,$I70,$J70)</f>
        <v>J4045964-J4045964-</v>
      </c>
      <c r="C70" s="2" t="s">
        <v>437</v>
      </c>
      <c r="D70" s="2" t="s">
        <v>438</v>
      </c>
      <c r="E70" s="2" t="s">
        <v>439</v>
      </c>
      <c r="F70" s="2" t="s">
        <v>440</v>
      </c>
      <c r="G70" s="2" t="s">
        <v>2078</v>
      </c>
      <c r="H70" s="2" t="s">
        <v>441</v>
      </c>
      <c r="I70" s="2" t="s">
        <v>437</v>
      </c>
      <c r="J70" s="2"/>
      <c r="K70" s="2" t="s">
        <v>2079</v>
      </c>
      <c r="L70" s="2" t="s">
        <v>438</v>
      </c>
      <c r="M70" s="2"/>
      <c r="N70" s="2" t="s">
        <v>439</v>
      </c>
      <c r="O70" s="2"/>
      <c r="P70" s="2" t="s">
        <v>440</v>
      </c>
      <c r="Q70" s="2"/>
      <c r="R70" s="2"/>
      <c r="S70" s="2"/>
      <c r="T70" s="2" t="s">
        <v>2080</v>
      </c>
    </row>
    <row r="71" spans="1:20" customFormat="1" ht="30" x14ac:dyDescent="0.25">
      <c r="A71" s="3" t="str">
        <f>INDEX('Orig (V1_BCK)'!$C:$C,MATCH($B71,'Orig (V1_BCK)'!$C:$C,0),1)</f>
        <v>J4236790-J4236790-</v>
      </c>
      <c r="B71" s="3" t="str">
        <f>_xlfn.TEXTJOIN("-",FALSE,$C71,$I71,$J71)</f>
        <v>J4236790-J4236790-</v>
      </c>
      <c r="C71" s="2" t="s">
        <v>555</v>
      </c>
      <c r="D71" s="2" t="s">
        <v>556</v>
      </c>
      <c r="E71" s="2" t="s">
        <v>515</v>
      </c>
      <c r="F71" s="2" t="s">
        <v>557</v>
      </c>
      <c r="G71" s="2" t="s">
        <v>2129</v>
      </c>
      <c r="H71" s="2" t="s">
        <v>558</v>
      </c>
      <c r="I71" s="2" t="s">
        <v>555</v>
      </c>
      <c r="J71" s="2"/>
      <c r="K71" s="2" t="s">
        <v>2130</v>
      </c>
      <c r="L71" s="2" t="s">
        <v>556</v>
      </c>
      <c r="M71" s="2"/>
      <c r="N71" s="2" t="s">
        <v>515</v>
      </c>
      <c r="O71" s="2"/>
      <c r="P71" s="2" t="s">
        <v>557</v>
      </c>
      <c r="Q71" s="2"/>
      <c r="R71" s="2"/>
      <c r="S71" s="2"/>
      <c r="T71" s="2" t="s">
        <v>2071</v>
      </c>
    </row>
    <row r="72" spans="1:20" customFormat="1" ht="30" x14ac:dyDescent="0.25">
      <c r="A72" s="3" t="str">
        <f>INDEX('Orig (V1_BCK)'!$C:$C,MATCH($B72,'Orig (V1_BCK)'!$C:$C,0),1)</f>
        <v>J4844769-ASDV0023-</v>
      </c>
      <c r="B72" s="3" t="str">
        <f>_xlfn.TEXTJOIN("-",FALSE,$C72,$I72,$J72)</f>
        <v>J4844769-ASDV0023-</v>
      </c>
      <c r="C72" s="2" t="s">
        <v>829</v>
      </c>
      <c r="D72" s="2" t="s">
        <v>776</v>
      </c>
      <c r="E72" s="2" t="s">
        <v>830</v>
      </c>
      <c r="F72" s="2" t="s">
        <v>831</v>
      </c>
      <c r="G72" s="2" t="s">
        <v>2231</v>
      </c>
      <c r="H72" s="2" t="s">
        <v>832</v>
      </c>
      <c r="I72" s="2" t="s">
        <v>833</v>
      </c>
      <c r="J72" s="2"/>
      <c r="K72" s="2" t="s">
        <v>2232</v>
      </c>
      <c r="L72" s="2" t="s">
        <v>650</v>
      </c>
      <c r="M72" s="2"/>
      <c r="N72" s="2" t="s">
        <v>651</v>
      </c>
      <c r="O72" s="2"/>
      <c r="P72" s="2"/>
      <c r="Q72" s="2"/>
      <c r="R72" s="2"/>
      <c r="S72" s="2"/>
      <c r="T72" s="2" t="s">
        <v>2038</v>
      </c>
    </row>
    <row r="73" spans="1:20" customFormat="1" ht="30" x14ac:dyDescent="0.25">
      <c r="A73" s="3" t="str">
        <f>INDEX('Orig (V1_BCK)'!$C:$C,MATCH($B73,'Orig (V1_BCK)'!$C:$C,0),1)</f>
        <v>J4844769-J4844769-</v>
      </c>
      <c r="B73" s="3" t="str">
        <f>_xlfn.TEXTJOIN("-",FALSE,$C73,$I73,$J73)</f>
        <v>J4844769-J4844769-</v>
      </c>
      <c r="C73" s="2" t="s">
        <v>829</v>
      </c>
      <c r="D73" s="2" t="s">
        <v>776</v>
      </c>
      <c r="E73" s="2" t="s">
        <v>830</v>
      </c>
      <c r="F73" s="2" t="s">
        <v>831</v>
      </c>
      <c r="G73" s="2" t="s">
        <v>2231</v>
      </c>
      <c r="H73" s="2" t="s">
        <v>832</v>
      </c>
      <c r="I73" s="2" t="s">
        <v>829</v>
      </c>
      <c r="J73" s="2"/>
      <c r="K73" s="2" t="s">
        <v>2232</v>
      </c>
      <c r="L73" s="2" t="s">
        <v>776</v>
      </c>
      <c r="M73" s="2"/>
      <c r="N73" s="2" t="s">
        <v>830</v>
      </c>
      <c r="O73" s="2"/>
      <c r="P73" s="2" t="s">
        <v>831</v>
      </c>
      <c r="Q73" s="2"/>
      <c r="R73" s="2"/>
      <c r="S73" s="2"/>
      <c r="T73" s="2" t="s">
        <v>2038</v>
      </c>
    </row>
    <row r="74" spans="1:20" customFormat="1" ht="30" x14ac:dyDescent="0.25">
      <c r="A74" s="3" t="str">
        <f>INDEX('Orig (V1_BCK)'!$C:$C,MATCH($B74,'Orig (V1_BCK)'!$C:$C,0),1)</f>
        <v>J4844769-SGID1234-</v>
      </c>
      <c r="B74" s="3" t="str">
        <f>_xlfn.TEXTJOIN("-",FALSE,$C74,$I74,$J74)</f>
        <v>J4844769-SGID1234-</v>
      </c>
      <c r="C74" s="2" t="s">
        <v>829</v>
      </c>
      <c r="D74" s="2" t="s">
        <v>776</v>
      </c>
      <c r="E74" s="2" t="s">
        <v>830</v>
      </c>
      <c r="F74" s="2" t="s">
        <v>831</v>
      </c>
      <c r="G74" s="2" t="s">
        <v>2231</v>
      </c>
      <c r="H74" s="2" t="s">
        <v>832</v>
      </c>
      <c r="I74" s="2" t="s">
        <v>652</v>
      </c>
      <c r="J74" s="2"/>
      <c r="K74" s="2" t="s">
        <v>2232</v>
      </c>
      <c r="L74" s="2" t="s">
        <v>835</v>
      </c>
      <c r="M74" s="2"/>
      <c r="N74" s="2" t="s">
        <v>836</v>
      </c>
      <c r="O74" s="2"/>
      <c r="P74" s="2"/>
      <c r="Q74" s="2"/>
      <c r="R74" s="2"/>
      <c r="S74" s="2"/>
      <c r="T74" s="2" t="s">
        <v>2038</v>
      </c>
    </row>
    <row r="75" spans="1:20" customFormat="1" ht="30" x14ac:dyDescent="0.25">
      <c r="A75" s="3" t="str">
        <f>INDEX('Orig (V1_BCK)'!$C:$C,MATCH($B75,'Orig (V1_BCK)'!$C:$C,0),1)</f>
        <v>J4844769-SS012345-</v>
      </c>
      <c r="B75" s="3" t="str">
        <f>_xlfn.TEXTJOIN("-",FALSE,$C75,$I75,$J75)</f>
        <v>J4844769-SS012345-</v>
      </c>
      <c r="C75" s="2" t="s">
        <v>829</v>
      </c>
      <c r="D75" s="2" t="s">
        <v>776</v>
      </c>
      <c r="E75" s="2" t="s">
        <v>830</v>
      </c>
      <c r="F75" s="2" t="s">
        <v>831</v>
      </c>
      <c r="G75" s="2" t="s">
        <v>2231</v>
      </c>
      <c r="H75" s="2" t="s">
        <v>832</v>
      </c>
      <c r="I75" s="2" t="s">
        <v>653</v>
      </c>
      <c r="J75" s="2"/>
      <c r="K75" s="2" t="s">
        <v>2232</v>
      </c>
      <c r="L75" s="2" t="s">
        <v>841</v>
      </c>
      <c r="M75" s="2"/>
      <c r="N75" s="2" t="s">
        <v>842</v>
      </c>
      <c r="O75" s="2"/>
      <c r="P75" s="2" t="s">
        <v>843</v>
      </c>
      <c r="Q75" s="2"/>
      <c r="R75" s="2"/>
      <c r="S75" s="2"/>
      <c r="T75" s="2" t="s">
        <v>2038</v>
      </c>
    </row>
    <row r="76" spans="1:20" customFormat="1" ht="30" x14ac:dyDescent="0.25">
      <c r="A76" s="3" t="str">
        <f>INDEX('Orig (V1_BCK)'!$C:$C,MATCH($B76,'Orig (V1_BCK)'!$C:$C,0),1)</f>
        <v>J4844769-SS012388-</v>
      </c>
      <c r="B76" s="3" t="str">
        <f>_xlfn.TEXTJOIN("-",FALSE,$C76,$I76,$J76)</f>
        <v>J4844769-SS012388-</v>
      </c>
      <c r="C76" s="2" t="s">
        <v>829</v>
      </c>
      <c r="D76" s="2" t="s">
        <v>776</v>
      </c>
      <c r="E76" s="2" t="s">
        <v>830</v>
      </c>
      <c r="F76" s="2" t="s">
        <v>831</v>
      </c>
      <c r="G76" s="2" t="s">
        <v>2231</v>
      </c>
      <c r="H76" s="2" t="s">
        <v>832</v>
      </c>
      <c r="I76" s="2" t="s">
        <v>837</v>
      </c>
      <c r="J76" s="2"/>
      <c r="K76" s="2" t="s">
        <v>2232</v>
      </c>
      <c r="L76" s="2" t="s">
        <v>838</v>
      </c>
      <c r="M76" s="2"/>
      <c r="N76" s="2" t="s">
        <v>839</v>
      </c>
      <c r="O76" s="2"/>
      <c r="P76" s="2" t="s">
        <v>840</v>
      </c>
      <c r="Q76" s="2"/>
      <c r="R76" s="2"/>
      <c r="S76" s="2"/>
      <c r="T76" s="2" t="s">
        <v>2038</v>
      </c>
    </row>
    <row r="77" spans="1:20" ht="45" x14ac:dyDescent="0.25">
      <c r="A77" s="3" t="e">
        <f>INDEX('Orig (V1_BCK)'!$C:$C,MATCH($B77,'Orig (V1_BCK)'!$C:$C,0),1)</f>
        <v>#N/A</v>
      </c>
      <c r="B77" s="3" t="str">
        <f>_xlfn.TEXTJOIN("-",FALSE,$C77,$I77,$J77)</f>
        <v>J5037045--</v>
      </c>
      <c r="C77" s="2" t="s">
        <v>1189</v>
      </c>
      <c r="D77" s="2" t="s">
        <v>1190</v>
      </c>
      <c r="E77" s="2" t="s">
        <v>1191</v>
      </c>
      <c r="F77" s="2" t="s">
        <v>44</v>
      </c>
      <c r="G77" s="2" t="s">
        <v>2376</v>
      </c>
      <c r="H77" s="2" t="s">
        <v>1192</v>
      </c>
      <c r="I77" s="2"/>
      <c r="J77" s="2"/>
      <c r="K77" s="2" t="s">
        <v>2377</v>
      </c>
      <c r="L77" s="2"/>
      <c r="M77" s="2"/>
      <c r="N77" s="2"/>
      <c r="O77" s="2"/>
      <c r="P77" s="2"/>
      <c r="Q77" s="2"/>
      <c r="R77" s="2"/>
      <c r="S77" s="2"/>
      <c r="T77" s="2" t="s">
        <v>2378</v>
      </c>
    </row>
    <row r="78" spans="1:20" ht="45" x14ac:dyDescent="0.25">
      <c r="A78" s="3" t="e">
        <f>INDEX('Orig (V1_BCK)'!$C:$C,MATCH($B78,'Orig (V1_BCK)'!$C:$C,0),1)</f>
        <v>#N/A</v>
      </c>
      <c r="B78" s="3" t="str">
        <f>_xlfn.TEXTJOIN("-",FALSE,$C78,$I78,$J78)</f>
        <v>J5198324--</v>
      </c>
      <c r="C78" s="2" t="s">
        <v>1290</v>
      </c>
      <c r="D78" s="2" t="s">
        <v>438</v>
      </c>
      <c r="E78" s="2" t="s">
        <v>74</v>
      </c>
      <c r="F78" s="2" t="s">
        <v>1291</v>
      </c>
      <c r="G78" s="2" t="s">
        <v>2413</v>
      </c>
      <c r="H78" s="2" t="s">
        <v>1292</v>
      </c>
      <c r="I78" s="2"/>
      <c r="J78" s="2"/>
      <c r="K78" s="2" t="s">
        <v>2410</v>
      </c>
      <c r="L78" s="2"/>
      <c r="M78" s="2"/>
      <c r="N78" s="2"/>
      <c r="O78" s="2"/>
      <c r="P78" s="2"/>
      <c r="Q78" s="2"/>
      <c r="R78" s="2"/>
      <c r="S78" s="2"/>
      <c r="T78" s="2" t="s">
        <v>2080</v>
      </c>
    </row>
    <row r="79" spans="1:20" customFormat="1" x14ac:dyDescent="0.25">
      <c r="A79" s="3" t="str">
        <f>INDEX('Orig (V1_BCK)'!$C:$C,MATCH($B79,'Orig (V1_BCK)'!$C:$C,0),1)</f>
        <v>J5391663-J5391663-</v>
      </c>
      <c r="B79" s="3" t="str">
        <f>_xlfn.TEXTJOIN("-",FALSE,$C79,$I79,$J79)</f>
        <v>J5391663-J5391663-</v>
      </c>
      <c r="C79" s="2" t="s">
        <v>23</v>
      </c>
      <c r="D79" s="2" t="s">
        <v>24</v>
      </c>
      <c r="E79" s="2" t="s">
        <v>25</v>
      </c>
      <c r="F79" s="2" t="s">
        <v>26</v>
      </c>
      <c r="G79" s="2" t="s">
        <v>2043</v>
      </c>
      <c r="H79" s="2" t="s">
        <v>854</v>
      </c>
      <c r="I79" s="2" t="s">
        <v>23</v>
      </c>
      <c r="J79" s="2"/>
      <c r="K79" s="2" t="s">
        <v>2236</v>
      </c>
      <c r="L79" s="2" t="s">
        <v>24</v>
      </c>
      <c r="M79" s="2"/>
      <c r="N79" s="2" t="s">
        <v>25</v>
      </c>
      <c r="O79" s="2"/>
      <c r="P79" s="2" t="s">
        <v>26</v>
      </c>
      <c r="Q79" s="2"/>
      <c r="R79" s="2"/>
      <c r="S79" s="2"/>
      <c r="T79" s="2" t="s">
        <v>2038</v>
      </c>
    </row>
    <row r="80" spans="1:20" customFormat="1" ht="45" x14ac:dyDescent="0.25">
      <c r="A80" s="3" t="str">
        <f>INDEX('Orig (V1_BCK)'!$C:$C,MATCH($B80,'Orig (V1_BCK)'!$C:$C,0),1)</f>
        <v>J5549918-J5549918-</v>
      </c>
      <c r="B80" s="3" t="str">
        <f>_xlfn.TEXTJOIN("-",FALSE,$C80,$I80,$J80)</f>
        <v>J5549918-J5549918-</v>
      </c>
      <c r="C80" s="2" t="s">
        <v>446</v>
      </c>
      <c r="D80" s="2" t="s">
        <v>438</v>
      </c>
      <c r="E80" s="2" t="s">
        <v>447</v>
      </c>
      <c r="F80" s="2" t="s">
        <v>448</v>
      </c>
      <c r="G80" s="2" t="s">
        <v>2082</v>
      </c>
      <c r="H80" s="2" t="s">
        <v>501</v>
      </c>
      <c r="I80" s="2" t="s">
        <v>446</v>
      </c>
      <c r="J80" s="2"/>
      <c r="K80" s="2" t="s">
        <v>2106</v>
      </c>
      <c r="L80" s="2" t="s">
        <v>438</v>
      </c>
      <c r="M80" s="2"/>
      <c r="N80" s="2" t="s">
        <v>447</v>
      </c>
      <c r="O80" s="2"/>
      <c r="P80" s="2" t="s">
        <v>448</v>
      </c>
      <c r="Q80" s="2"/>
      <c r="R80" s="2"/>
      <c r="S80" s="2"/>
      <c r="T80" s="2" t="s">
        <v>2083</v>
      </c>
    </row>
    <row r="81" spans="1:20" customFormat="1" ht="30" x14ac:dyDescent="0.25">
      <c r="A81" s="3" t="str">
        <f>INDEX('Orig (V1_BCK)'!$C:$C,MATCH($B81,'Orig (V1_BCK)'!$C:$C,0),1)</f>
        <v>J5768651-J5768651-</v>
      </c>
      <c r="B81" s="3" t="str">
        <f>_xlfn.TEXTJOIN("-",FALSE,$C81,$I81,$J81)</f>
        <v>J5768651-J5768651-</v>
      </c>
      <c r="C81" s="2" t="s">
        <v>660</v>
      </c>
      <c r="D81" s="2" t="s">
        <v>661</v>
      </c>
      <c r="E81" s="2" t="s">
        <v>662</v>
      </c>
      <c r="F81" s="2" t="s">
        <v>663</v>
      </c>
      <c r="G81" s="2" t="s">
        <v>2168</v>
      </c>
      <c r="H81" s="2" t="s">
        <v>664</v>
      </c>
      <c r="I81" s="2" t="s">
        <v>660</v>
      </c>
      <c r="J81" s="2"/>
      <c r="K81" s="2" t="s">
        <v>2169</v>
      </c>
      <c r="L81" s="2" t="s">
        <v>661</v>
      </c>
      <c r="M81" s="2"/>
      <c r="N81" s="2" t="s">
        <v>662</v>
      </c>
      <c r="O81" s="2"/>
      <c r="P81" s="2" t="s">
        <v>663</v>
      </c>
      <c r="Q81" s="2"/>
      <c r="R81" s="2"/>
      <c r="S81" s="2"/>
      <c r="T81" s="2" t="s">
        <v>2080</v>
      </c>
    </row>
    <row r="82" spans="1:20" customFormat="1" x14ac:dyDescent="0.25">
      <c r="A82" s="3" t="str">
        <f>INDEX('Orig (V1_BCK)'!$C:$C,MATCH($B82,'Orig (V1_BCK)'!$C:$C,0),1)</f>
        <v>J6007668--M4581480</v>
      </c>
      <c r="B82" s="3" t="str">
        <f>_xlfn.TEXTJOIN("-",FALSE,$C82,$I82,$J82)</f>
        <v>J6007668--M4581480</v>
      </c>
      <c r="C82" s="2" t="s">
        <v>534</v>
      </c>
      <c r="D82" s="2" t="s">
        <v>24</v>
      </c>
      <c r="E82" s="2" t="s">
        <v>535</v>
      </c>
      <c r="F82" s="2" t="s">
        <v>536</v>
      </c>
      <c r="G82" s="2" t="s">
        <v>2119</v>
      </c>
      <c r="H82" s="2" t="s">
        <v>537</v>
      </c>
      <c r="I82" s="2"/>
      <c r="J82" s="2" t="s">
        <v>538</v>
      </c>
      <c r="K82" s="2" t="s">
        <v>2120</v>
      </c>
      <c r="L82" s="2"/>
      <c r="M82" s="2" t="s">
        <v>92</v>
      </c>
      <c r="N82" s="2"/>
      <c r="O82" s="2" t="s">
        <v>539</v>
      </c>
      <c r="P82" s="2"/>
      <c r="Q82" s="2" t="s">
        <v>468</v>
      </c>
      <c r="R82" s="2"/>
      <c r="S82" s="2"/>
      <c r="T82" s="2" t="s">
        <v>2071</v>
      </c>
    </row>
    <row r="83" spans="1:20" x14ac:dyDescent="0.25">
      <c r="A83" s="3" t="e">
        <f>INDEX('Orig (V1_BCK)'!$C:$C,MATCH($B83,'Orig (V1_BCK)'!$C:$C,0),1)</f>
        <v>#N/A</v>
      </c>
      <c r="B83" s="3" t="str">
        <f>_xlfn.TEXTJOIN("-",FALSE,$C83,$I83,$J83)</f>
        <v>J6139155--</v>
      </c>
      <c r="C83" s="2" t="s">
        <v>32</v>
      </c>
      <c r="D83" s="2" t="s">
        <v>33</v>
      </c>
      <c r="E83" s="2" t="s">
        <v>34</v>
      </c>
      <c r="F83" s="2" t="s">
        <v>35</v>
      </c>
      <c r="G83" s="2" t="s">
        <v>2047</v>
      </c>
      <c r="H83" s="2" t="s">
        <v>36</v>
      </c>
      <c r="I83" s="2"/>
      <c r="J83" s="2"/>
      <c r="K83" s="2" t="s">
        <v>2048</v>
      </c>
      <c r="L83" s="2"/>
      <c r="M83" s="2"/>
      <c r="N83" s="2"/>
      <c r="O83" s="2"/>
      <c r="P83" s="2"/>
      <c r="Q83" s="2"/>
      <c r="R83" s="2"/>
      <c r="S83" s="2"/>
      <c r="T83" s="2" t="s">
        <v>2038</v>
      </c>
    </row>
    <row r="84" spans="1:20" customFormat="1" ht="30" x14ac:dyDescent="0.25">
      <c r="A84" s="3" t="str">
        <f>INDEX('Orig (V1_BCK)'!$C:$C,MATCH($B84,'Orig (V1_BCK)'!$C:$C,0),1)</f>
        <v>J6185390--J5549918</v>
      </c>
      <c r="B84" s="3" t="str">
        <f>_xlfn.TEXTJOIN("-",FALSE,$C84,$I84,$J84)</f>
        <v>J6185390--J5549918</v>
      </c>
      <c r="C84" s="2" t="s">
        <v>768</v>
      </c>
      <c r="D84" s="2" t="s">
        <v>147</v>
      </c>
      <c r="E84" s="2" t="s">
        <v>769</v>
      </c>
      <c r="F84" s="2" t="s">
        <v>770</v>
      </c>
      <c r="G84" s="2" t="s">
        <v>2211</v>
      </c>
      <c r="H84" s="2" t="s">
        <v>771</v>
      </c>
      <c r="I84" s="2"/>
      <c r="J84" s="2" t="s">
        <v>446</v>
      </c>
      <c r="K84" s="2" t="s">
        <v>2082</v>
      </c>
      <c r="L84" s="2"/>
      <c r="M84" s="2" t="s">
        <v>438</v>
      </c>
      <c r="N84" s="2"/>
      <c r="O84" s="2" t="s">
        <v>447</v>
      </c>
      <c r="P84" s="2"/>
      <c r="Q84" s="2" t="s">
        <v>448</v>
      </c>
      <c r="R84" s="2"/>
      <c r="S84" s="2"/>
      <c r="T84" s="2" t="s">
        <v>2083</v>
      </c>
    </row>
    <row r="85" spans="1:20" customFormat="1" x14ac:dyDescent="0.25">
      <c r="A85" s="3" t="str">
        <f>INDEX('Orig (V1_BCK)'!$C:$C,MATCH($B85,'Orig (V1_BCK)'!$C:$C,0),1)</f>
        <v>J6399199-J6399199-</v>
      </c>
      <c r="B85" s="3" t="str">
        <f>_xlfn.TEXTJOIN("-",FALSE,$C85,$I85,$J85)</f>
        <v>J6399199-J6399199-</v>
      </c>
      <c r="C85" s="2" t="s">
        <v>775</v>
      </c>
      <c r="D85" s="2" t="s">
        <v>776</v>
      </c>
      <c r="E85" s="2" t="s">
        <v>777</v>
      </c>
      <c r="F85" s="2" t="s">
        <v>778</v>
      </c>
      <c r="G85" s="2" t="s">
        <v>2213</v>
      </c>
      <c r="H85" s="2" t="s">
        <v>779</v>
      </c>
      <c r="I85" s="2" t="s">
        <v>775</v>
      </c>
      <c r="J85" s="2"/>
      <c r="K85" s="2" t="s">
        <v>2214</v>
      </c>
      <c r="L85" s="2" t="s">
        <v>776</v>
      </c>
      <c r="M85" s="2"/>
      <c r="N85" s="2" t="s">
        <v>777</v>
      </c>
      <c r="O85" s="2"/>
      <c r="P85" s="2" t="s">
        <v>778</v>
      </c>
      <c r="Q85" s="2"/>
      <c r="R85" s="2"/>
      <c r="S85" s="2"/>
      <c r="T85" s="2" t="s">
        <v>2083</v>
      </c>
    </row>
    <row r="86" spans="1:20" customFormat="1" x14ac:dyDescent="0.25">
      <c r="A86" s="3" t="str">
        <f>INDEX('Orig (V1_BCK)'!$C:$C,MATCH($B86,'Orig (V1_BCK)'!$C:$C,0),1)</f>
        <v>J6982916--F6446981</v>
      </c>
      <c r="B86" s="3" t="str">
        <f>_xlfn.TEXTJOIN("-",FALSE,$C86,$I86,$J86)</f>
        <v>J6982916--F6446981</v>
      </c>
      <c r="C86" s="2" t="s">
        <v>657</v>
      </c>
      <c r="D86" s="2" t="s">
        <v>173</v>
      </c>
      <c r="E86" s="2" t="s">
        <v>658</v>
      </c>
      <c r="F86" s="2" t="s">
        <v>659</v>
      </c>
      <c r="G86" s="2" t="s">
        <v>2167</v>
      </c>
      <c r="H86" s="2" t="s">
        <v>2167</v>
      </c>
      <c r="I86" s="2"/>
      <c r="J86" s="2" t="s">
        <v>636</v>
      </c>
      <c r="K86" s="2" t="s">
        <v>2162</v>
      </c>
      <c r="L86" s="2"/>
      <c r="M86" s="2" t="s">
        <v>637</v>
      </c>
      <c r="N86" s="2"/>
      <c r="O86" s="2" t="s">
        <v>496</v>
      </c>
      <c r="P86" s="2"/>
      <c r="Q86" s="2" t="s">
        <v>638</v>
      </c>
      <c r="R86" s="2"/>
      <c r="S86" s="2"/>
      <c r="T86" s="2" t="s">
        <v>2083</v>
      </c>
    </row>
    <row r="87" spans="1:20" customFormat="1" ht="30" x14ac:dyDescent="0.25">
      <c r="A87" s="3" t="str">
        <f>INDEX('Orig (V1_BCK)'!$C:$C,MATCH($B87,'Orig (V1_BCK)'!$C:$C,0),1)</f>
        <v>J7053949-J7053949-</v>
      </c>
      <c r="B87" s="3" t="str">
        <f>_xlfn.TEXTJOIN("-",FALSE,$C87,$I87,$J87)</f>
        <v>J7053949-J7053949-</v>
      </c>
      <c r="C87" s="2" t="s">
        <v>551</v>
      </c>
      <c r="D87" s="2" t="s">
        <v>552</v>
      </c>
      <c r="E87" s="2" t="s">
        <v>553</v>
      </c>
      <c r="F87" s="2" t="s">
        <v>105</v>
      </c>
      <c r="G87" s="2" t="s">
        <v>2127</v>
      </c>
      <c r="H87" s="2" t="s">
        <v>554</v>
      </c>
      <c r="I87" s="2" t="s">
        <v>551</v>
      </c>
      <c r="J87" s="2"/>
      <c r="K87" s="2" t="s">
        <v>2128</v>
      </c>
      <c r="L87" s="2" t="s">
        <v>552</v>
      </c>
      <c r="M87" s="2"/>
      <c r="N87" s="2" t="s">
        <v>553</v>
      </c>
      <c r="O87" s="2"/>
      <c r="P87" s="2" t="s">
        <v>105</v>
      </c>
      <c r="Q87" s="2"/>
      <c r="R87" s="2"/>
      <c r="S87" s="2"/>
      <c r="T87" s="2" t="s">
        <v>2071</v>
      </c>
    </row>
    <row r="88" spans="1:20" customFormat="1" x14ac:dyDescent="0.25">
      <c r="A88" s="3" t="str">
        <f>INDEX('Orig (V1_BCK)'!$C:$C,MATCH($B88,'Orig (V1_BCK)'!$C:$C,0),1)</f>
        <v>J7436091--J5406220</v>
      </c>
      <c r="B88" s="3" t="str">
        <f>_xlfn.TEXTJOIN("-",FALSE,$C88,$I88,$J88)</f>
        <v>J7436091--J5406220</v>
      </c>
      <c r="C88" s="2" t="s">
        <v>486</v>
      </c>
      <c r="D88" s="2" t="s">
        <v>173</v>
      </c>
      <c r="E88" s="2" t="s">
        <v>487</v>
      </c>
      <c r="F88" s="2" t="s">
        <v>29</v>
      </c>
      <c r="G88" s="2" t="s">
        <v>2100</v>
      </c>
      <c r="H88" s="2" t="s">
        <v>488</v>
      </c>
      <c r="I88" s="2"/>
      <c r="J88" s="2" t="s">
        <v>489</v>
      </c>
      <c r="K88" s="2" t="s">
        <v>2101</v>
      </c>
      <c r="L88" s="2"/>
      <c r="M88" s="2" t="s">
        <v>490</v>
      </c>
      <c r="N88" s="2"/>
      <c r="O88" s="2" t="s">
        <v>463</v>
      </c>
      <c r="P88" s="2"/>
      <c r="Q88" s="2" t="s">
        <v>20</v>
      </c>
      <c r="R88" s="2"/>
      <c r="S88" s="2"/>
      <c r="T88" s="2" t="s">
        <v>2083</v>
      </c>
    </row>
    <row r="89" spans="1:20" customFormat="1" x14ac:dyDescent="0.25">
      <c r="A89" s="3" t="str">
        <f>INDEX('Orig (V1_BCK)'!$C:$C,MATCH($B89,'Orig (V1_BCK)'!$C:$C,0),1)</f>
        <v>J8092275-J8092275-</v>
      </c>
      <c r="B89" s="3" t="str">
        <f>_xlfn.TEXTJOIN("-",FALSE,$C89,$I89,$J89)</f>
        <v>J8092275-J8092275-</v>
      </c>
      <c r="C89" s="2" t="s">
        <v>474</v>
      </c>
      <c r="D89" s="2" t="s">
        <v>475</v>
      </c>
      <c r="E89" s="2" t="s">
        <v>476</v>
      </c>
      <c r="F89" s="2" t="s">
        <v>477</v>
      </c>
      <c r="G89" s="2" t="s">
        <v>2093</v>
      </c>
      <c r="H89" s="2" t="s">
        <v>478</v>
      </c>
      <c r="I89" s="2" t="s">
        <v>474</v>
      </c>
      <c r="J89" s="2"/>
      <c r="K89" s="2" t="s">
        <v>2094</v>
      </c>
      <c r="L89" s="2" t="s">
        <v>475</v>
      </c>
      <c r="M89" s="2"/>
      <c r="N89" s="2" t="s">
        <v>476</v>
      </c>
      <c r="O89" s="2"/>
      <c r="P89" s="2" t="s">
        <v>477</v>
      </c>
      <c r="Q89" s="2"/>
      <c r="R89" s="2"/>
      <c r="S89" s="2"/>
      <c r="T89" s="2" t="s">
        <v>2080</v>
      </c>
    </row>
    <row r="90" spans="1:20" customFormat="1" x14ac:dyDescent="0.25">
      <c r="A90" s="3" t="str">
        <f>INDEX('Orig (V1_BCK)'!$C:$C,MATCH($B90,'Orig (V1_BCK)'!$C:$C,0),1)</f>
        <v>J8152481-J8152481-</v>
      </c>
      <c r="B90" s="3" t="str">
        <f>_xlfn.TEXTJOIN("-",FALSE,$C90,$I90,$J90)</f>
        <v>J8152481-J8152481-</v>
      </c>
      <c r="C90" s="2" t="s">
        <v>665</v>
      </c>
      <c r="D90" s="2" t="s">
        <v>438</v>
      </c>
      <c r="E90" s="2" t="s">
        <v>666</v>
      </c>
      <c r="F90" s="2" t="s">
        <v>44</v>
      </c>
      <c r="G90" s="2" t="s">
        <v>2170</v>
      </c>
      <c r="H90" s="2" t="s">
        <v>667</v>
      </c>
      <c r="I90" s="2" t="s">
        <v>665</v>
      </c>
      <c r="J90" s="2"/>
      <c r="K90" s="2" t="s">
        <v>2171</v>
      </c>
      <c r="L90" s="2" t="s">
        <v>438</v>
      </c>
      <c r="M90" s="2"/>
      <c r="N90" s="2" t="s">
        <v>666</v>
      </c>
      <c r="O90" s="2"/>
      <c r="P90" s="2" t="s">
        <v>44</v>
      </c>
      <c r="Q90" s="2"/>
      <c r="R90" s="2"/>
      <c r="S90" s="2"/>
      <c r="T90" s="2" t="s">
        <v>2038</v>
      </c>
    </row>
    <row r="91" spans="1:20" customFormat="1" x14ac:dyDescent="0.25">
      <c r="A91" s="3" t="str">
        <f>INDEX('Orig (V1_BCK)'!$C:$C,MATCH($B91,'Orig (V1_BCK)'!$C:$C,0),1)</f>
        <v>J8542026-J8542026-</v>
      </c>
      <c r="B91" s="3" t="str">
        <f>_xlfn.TEXTJOIN("-",FALSE,$C91,$I91,$J91)</f>
        <v>J8542026-J8542026-</v>
      </c>
      <c r="C91" s="2" t="s">
        <v>548</v>
      </c>
      <c r="D91" s="2" t="s">
        <v>475</v>
      </c>
      <c r="E91" s="2" t="s">
        <v>105</v>
      </c>
      <c r="F91" s="2" t="s">
        <v>549</v>
      </c>
      <c r="G91" s="2" t="s">
        <v>2125</v>
      </c>
      <c r="H91" s="2" t="s">
        <v>550</v>
      </c>
      <c r="I91" s="2" t="s">
        <v>548</v>
      </c>
      <c r="J91" s="2"/>
      <c r="K91" s="2" t="s">
        <v>2126</v>
      </c>
      <c r="L91" s="2" t="s">
        <v>475</v>
      </c>
      <c r="M91" s="2"/>
      <c r="N91" s="2" t="s">
        <v>105</v>
      </c>
      <c r="O91" s="2"/>
      <c r="P91" s="2" t="s">
        <v>549</v>
      </c>
      <c r="Q91" s="2"/>
      <c r="R91" s="2"/>
      <c r="S91" s="2"/>
      <c r="T91" s="2" t="s">
        <v>2071</v>
      </c>
    </row>
    <row r="92" spans="1:20" customFormat="1" x14ac:dyDescent="0.25">
      <c r="A92" s="3" t="str">
        <f>INDEX('Orig (V1_BCK)'!$C:$C,MATCH($B92,'Orig (V1_BCK)'!$C:$C,0),1)</f>
        <v>J9138648-J9138648-</v>
      </c>
      <c r="B92" s="3" t="str">
        <f>_xlfn.TEXTJOIN("-",FALSE,$C92,$I92,$J92)</f>
        <v>J9138648-J9138648-</v>
      </c>
      <c r="C92" s="2" t="s">
        <v>689</v>
      </c>
      <c r="D92" s="2" t="s">
        <v>690</v>
      </c>
      <c r="E92" s="2" t="s">
        <v>691</v>
      </c>
      <c r="F92" s="2" t="s">
        <v>692</v>
      </c>
      <c r="G92" s="2" t="s">
        <v>2180</v>
      </c>
      <c r="H92" s="2" t="s">
        <v>693</v>
      </c>
      <c r="I92" s="2" t="s">
        <v>689</v>
      </c>
      <c r="J92" s="2"/>
      <c r="K92" s="2" t="s">
        <v>2181</v>
      </c>
      <c r="L92" s="2" t="s">
        <v>690</v>
      </c>
      <c r="M92" s="2"/>
      <c r="N92" s="2" t="s">
        <v>691</v>
      </c>
      <c r="O92" s="2"/>
      <c r="P92" s="2" t="s">
        <v>692</v>
      </c>
      <c r="Q92" s="2"/>
      <c r="R92" s="2"/>
      <c r="S92" s="2"/>
      <c r="T92" s="2" t="s">
        <v>2038</v>
      </c>
    </row>
    <row r="93" spans="1:20" customFormat="1" x14ac:dyDescent="0.25">
      <c r="A93" s="3" t="str">
        <f>INDEX('Orig (V1_BCK)'!$C:$C,MATCH($B93,'Orig (V1_BCK)'!$C:$C,0),1)</f>
        <v>J9286163-J9286163-</v>
      </c>
      <c r="B93" s="3" t="str">
        <f>_xlfn.TEXTJOIN("-",FALSE,$C93,$I93,$J93)</f>
        <v>J9286163-J9286163-</v>
      </c>
      <c r="C93" s="2" t="s">
        <v>563</v>
      </c>
      <c r="D93" s="2" t="s">
        <v>564</v>
      </c>
      <c r="E93" s="2" t="s">
        <v>542</v>
      </c>
      <c r="F93" s="2" t="s">
        <v>565</v>
      </c>
      <c r="G93" s="2" t="s">
        <v>2133</v>
      </c>
      <c r="H93" s="2" t="s">
        <v>566</v>
      </c>
      <c r="I93" s="2" t="s">
        <v>563</v>
      </c>
      <c r="J93" s="2"/>
      <c r="K93" s="2" t="s">
        <v>2134</v>
      </c>
      <c r="L93" s="2" t="s">
        <v>564</v>
      </c>
      <c r="M93" s="2"/>
      <c r="N93" s="2" t="s">
        <v>542</v>
      </c>
      <c r="O93" s="2"/>
      <c r="P93" s="2" t="s">
        <v>565</v>
      </c>
      <c r="Q93" s="2"/>
      <c r="R93" s="2"/>
      <c r="S93" s="2"/>
      <c r="T93" s="2" t="s">
        <v>2071</v>
      </c>
    </row>
    <row r="94" spans="1:20" customFormat="1" ht="30" x14ac:dyDescent="0.25">
      <c r="A94" s="3" t="str">
        <f>INDEX('Orig (V1_BCK)'!$C:$C,MATCH($B94,'Orig (V1_BCK)'!$C:$C,0),1)</f>
        <v>J9341213--J2543295</v>
      </c>
      <c r="B94" s="3" t="str">
        <f>_xlfn.TEXTJOIN("-",FALSE,$C94,$I94,$J94)</f>
        <v>J9341213--J2543295</v>
      </c>
      <c r="C94" s="2" t="s">
        <v>826</v>
      </c>
      <c r="D94" s="2" t="s">
        <v>24</v>
      </c>
      <c r="E94" s="2" t="s">
        <v>740</v>
      </c>
      <c r="F94" s="2" t="s">
        <v>827</v>
      </c>
      <c r="G94" s="2" t="s">
        <v>2230</v>
      </c>
      <c r="H94" s="2" t="s">
        <v>828</v>
      </c>
      <c r="I94" s="2"/>
      <c r="J94" s="2" t="s">
        <v>795</v>
      </c>
      <c r="K94" s="2" t="s">
        <v>2220</v>
      </c>
      <c r="L94" s="2"/>
      <c r="M94" s="2" t="s">
        <v>796</v>
      </c>
      <c r="N94" s="2"/>
      <c r="O94" s="2" t="s">
        <v>797</v>
      </c>
      <c r="P94" s="2"/>
      <c r="Q94" s="2" t="s">
        <v>798</v>
      </c>
      <c r="R94" s="2"/>
      <c r="S94" s="2"/>
      <c r="T94" s="2" t="s">
        <v>2046</v>
      </c>
    </row>
    <row r="95" spans="1:20" customFormat="1" x14ac:dyDescent="0.25">
      <c r="A95" s="3" t="str">
        <f>INDEX('Orig (V1_BCK)'!$C:$C,MATCH($B95,'Orig (V1_BCK)'!$C:$C,0),1)</f>
        <v>J9366757-J9366757-</v>
      </c>
      <c r="B95" s="3" t="str">
        <f>_xlfn.TEXTJOIN("-",FALSE,$C95,$I95,$J95)</f>
        <v>J9366757-J9366757-</v>
      </c>
      <c r="C95" s="2" t="s">
        <v>540</v>
      </c>
      <c r="D95" s="2" t="s">
        <v>24</v>
      </c>
      <c r="E95" s="2" t="s">
        <v>541</v>
      </c>
      <c r="F95" s="2" t="s">
        <v>542</v>
      </c>
      <c r="G95" s="2" t="s">
        <v>2121</v>
      </c>
      <c r="H95" s="2" t="s">
        <v>543</v>
      </c>
      <c r="I95" s="2" t="s">
        <v>540</v>
      </c>
      <c r="J95" s="2"/>
      <c r="K95" s="2" t="s">
        <v>2122</v>
      </c>
      <c r="L95" s="2" t="s">
        <v>24</v>
      </c>
      <c r="M95" s="2"/>
      <c r="N95" s="2" t="s">
        <v>541</v>
      </c>
      <c r="O95" s="2"/>
      <c r="P95" s="2" t="s">
        <v>542</v>
      </c>
      <c r="Q95" s="2"/>
      <c r="R95" s="2"/>
      <c r="S95" s="2"/>
      <c r="T95" s="2" t="s">
        <v>2071</v>
      </c>
    </row>
    <row r="96" spans="1:20" customFormat="1" ht="30" x14ac:dyDescent="0.25">
      <c r="A96" s="3" t="str">
        <f>INDEX('Orig (V1_BCK)'!$C:$C,MATCH($B96,'Orig (V1_BCK)'!$C:$C,0),1)</f>
        <v>J9529977--C9446654</v>
      </c>
      <c r="B96" s="3" t="str">
        <f>_xlfn.TEXTJOIN("-",FALSE,$C96,$I96,$J96)</f>
        <v>J9529977--C9446654</v>
      </c>
      <c r="C96" s="2" t="s">
        <v>844</v>
      </c>
      <c r="D96" s="2" t="s">
        <v>458</v>
      </c>
      <c r="E96" s="2" t="s">
        <v>845</v>
      </c>
      <c r="F96" s="2" t="s">
        <v>691</v>
      </c>
      <c r="G96" s="2" t="s">
        <v>2233</v>
      </c>
      <c r="H96" s="2" t="s">
        <v>2233</v>
      </c>
      <c r="I96" s="2"/>
      <c r="J96" s="2" t="s">
        <v>846</v>
      </c>
      <c r="K96" s="2" t="s">
        <v>2234</v>
      </c>
      <c r="L96" s="2"/>
      <c r="M96" s="2" t="s">
        <v>847</v>
      </c>
      <c r="N96" s="2"/>
      <c r="O96" s="2" t="s">
        <v>30</v>
      </c>
      <c r="P96" s="2"/>
      <c r="Q96" s="2" t="s">
        <v>848</v>
      </c>
      <c r="R96" s="2"/>
      <c r="S96" s="2"/>
      <c r="T96" s="2" t="s">
        <v>2083</v>
      </c>
    </row>
    <row r="97" spans="1:20" customFormat="1" x14ac:dyDescent="0.25">
      <c r="A97" s="3" t="str">
        <f>INDEX('Orig (V1_BCK)'!$C:$C,MATCH($B97,'Orig (V1_BCK)'!$C:$C,0),1)</f>
        <v>J9571630--J7446134</v>
      </c>
      <c r="B97" s="3" t="str">
        <f>_xlfn.TEXTJOIN("-",FALSE,$C97,$I97,$J97)</f>
        <v>J9571630--J7446134</v>
      </c>
      <c r="C97" s="2" t="s">
        <v>808</v>
      </c>
      <c r="D97" s="2" t="s">
        <v>809</v>
      </c>
      <c r="E97" s="2" t="s">
        <v>578</v>
      </c>
      <c r="F97" s="2" t="s">
        <v>810</v>
      </c>
      <c r="G97" s="2" t="s">
        <v>2224</v>
      </c>
      <c r="H97" s="2" t="s">
        <v>811</v>
      </c>
      <c r="I97" s="2"/>
      <c r="J97" s="2" t="s">
        <v>812</v>
      </c>
      <c r="K97" s="2" t="s">
        <v>2225</v>
      </c>
      <c r="L97" s="2"/>
      <c r="M97" s="2" t="s">
        <v>661</v>
      </c>
      <c r="N97" s="2"/>
      <c r="O97" s="2" t="s">
        <v>813</v>
      </c>
      <c r="P97" s="2"/>
      <c r="Q97" s="2" t="s">
        <v>11</v>
      </c>
      <c r="R97" s="2"/>
      <c r="S97" s="2"/>
      <c r="T97" s="2" t="s">
        <v>2046</v>
      </c>
    </row>
    <row r="98" spans="1:20" customFormat="1" ht="30" x14ac:dyDescent="0.25">
      <c r="A98" s="3" t="str">
        <f>INDEX('Orig (V1_BCK)'!$C:$C,MATCH($B98,'Orig (V1_BCK)'!$C:$C,0),1)</f>
        <v>J9593148-J9593148-</v>
      </c>
      <c r="B98" s="3" t="str">
        <f>_xlfn.TEXTJOIN("-",FALSE,$C98,$I98,$J98)</f>
        <v>J9593148-J9593148-</v>
      </c>
      <c r="C98" s="2" t="s">
        <v>645</v>
      </c>
      <c r="D98" s="2" t="s">
        <v>646</v>
      </c>
      <c r="E98" s="2" t="s">
        <v>647</v>
      </c>
      <c r="F98" s="2" t="s">
        <v>493</v>
      </c>
      <c r="G98" s="2" t="s">
        <v>2165</v>
      </c>
      <c r="H98" s="2" t="s">
        <v>648</v>
      </c>
      <c r="I98" s="2" t="s">
        <v>645</v>
      </c>
      <c r="J98" s="2"/>
      <c r="K98" s="2" t="s">
        <v>2166</v>
      </c>
      <c r="L98" s="2" t="s">
        <v>646</v>
      </c>
      <c r="M98" s="2"/>
      <c r="N98" s="2" t="s">
        <v>647</v>
      </c>
      <c r="O98" s="2"/>
      <c r="P98" s="2" t="s">
        <v>493</v>
      </c>
      <c r="Q98" s="2"/>
      <c r="R98" s="2"/>
      <c r="S98" s="2"/>
      <c r="T98" s="2" t="s">
        <v>2038</v>
      </c>
    </row>
    <row r="99" spans="1:20" customFormat="1" ht="30" x14ac:dyDescent="0.25">
      <c r="A99" s="3" t="str">
        <f>INDEX('Orig (V1_BCK)'!$C:$C,MATCH($B99,'Orig (V1_BCK)'!$C:$C,0),1)</f>
        <v>J9593148-SGID0009-</v>
      </c>
      <c r="B99" s="3" t="str">
        <f>_xlfn.TEXTJOIN("-",FALSE,$C99,$I99,$J99)</f>
        <v>J9593148-SGID0009-</v>
      </c>
      <c r="C99" s="2" t="s">
        <v>645</v>
      </c>
      <c r="D99" s="2" t="s">
        <v>646</v>
      </c>
      <c r="E99" s="2" t="s">
        <v>647</v>
      </c>
      <c r="F99" s="2" t="s">
        <v>493</v>
      </c>
      <c r="G99" s="2" t="s">
        <v>2165</v>
      </c>
      <c r="H99" s="2" t="s">
        <v>648</v>
      </c>
      <c r="I99" s="2" t="s">
        <v>649</v>
      </c>
      <c r="J99" s="2"/>
      <c r="K99" s="2" t="s">
        <v>2166</v>
      </c>
      <c r="L99" s="2" t="s">
        <v>650</v>
      </c>
      <c r="M99" s="2"/>
      <c r="N99" s="2" t="s">
        <v>651</v>
      </c>
      <c r="O99" s="2"/>
      <c r="P99" s="2"/>
      <c r="Q99" s="2"/>
      <c r="R99" s="2"/>
      <c r="S99" s="2"/>
      <c r="T99" s="2" t="s">
        <v>2038</v>
      </c>
    </row>
    <row r="100" spans="1:20" customFormat="1" ht="30" x14ac:dyDescent="0.25">
      <c r="A100" s="3" t="str">
        <f>INDEX('Orig (V1_BCK)'!$C:$C,MATCH($B100,'Orig (V1_BCK)'!$C:$C,0),1)</f>
        <v>J9593148-SGID1234-</v>
      </c>
      <c r="B100" s="3" t="str">
        <f>_xlfn.TEXTJOIN("-",FALSE,$C100,$I100,$J100)</f>
        <v>J9593148-SGID1234-</v>
      </c>
      <c r="C100" s="2" t="s">
        <v>645</v>
      </c>
      <c r="D100" s="2" t="s">
        <v>646</v>
      </c>
      <c r="E100" s="2" t="s">
        <v>647</v>
      </c>
      <c r="F100" s="2" t="s">
        <v>493</v>
      </c>
      <c r="G100" s="2" t="s">
        <v>2165</v>
      </c>
      <c r="H100" s="2" t="s">
        <v>648</v>
      </c>
      <c r="I100" s="2" t="s">
        <v>652</v>
      </c>
      <c r="J100" s="2"/>
      <c r="K100" s="2" t="s">
        <v>2166</v>
      </c>
      <c r="L100" s="2" t="s">
        <v>650</v>
      </c>
      <c r="M100" s="2"/>
      <c r="N100" s="2" t="s">
        <v>651</v>
      </c>
      <c r="O100" s="2"/>
      <c r="P100" s="2"/>
      <c r="Q100" s="2"/>
      <c r="R100" s="2"/>
      <c r="S100" s="2"/>
      <c r="T100" s="2" t="s">
        <v>2038</v>
      </c>
    </row>
    <row r="101" spans="1:20" customFormat="1" ht="30" x14ac:dyDescent="0.25">
      <c r="A101" s="3" t="str">
        <f>INDEX('Orig (V1_BCK)'!$C:$C,MATCH($B101,'Orig (V1_BCK)'!$C:$C,0),1)</f>
        <v>J9593148-SS012345-</v>
      </c>
      <c r="B101" s="3" t="str">
        <f>_xlfn.TEXTJOIN("-",FALSE,$C101,$I101,$J101)</f>
        <v>J9593148-SS012345-</v>
      </c>
      <c r="C101" s="2" t="s">
        <v>645</v>
      </c>
      <c r="D101" s="2" t="s">
        <v>646</v>
      </c>
      <c r="E101" s="2" t="s">
        <v>647</v>
      </c>
      <c r="F101" s="2" t="s">
        <v>493</v>
      </c>
      <c r="G101" s="2" t="s">
        <v>2165</v>
      </c>
      <c r="H101" s="2" t="s">
        <v>648</v>
      </c>
      <c r="I101" s="2" t="s">
        <v>653</v>
      </c>
      <c r="J101" s="2"/>
      <c r="K101" s="2" t="s">
        <v>2166</v>
      </c>
      <c r="L101" s="2" t="s">
        <v>654</v>
      </c>
      <c r="M101" s="2"/>
      <c r="N101" s="2" t="s">
        <v>655</v>
      </c>
      <c r="O101" s="2"/>
      <c r="P101" s="2" t="s">
        <v>656</v>
      </c>
      <c r="Q101" s="2"/>
      <c r="R101" s="2"/>
      <c r="S101" s="2"/>
      <c r="T101" s="2" t="s">
        <v>2038</v>
      </c>
    </row>
    <row r="102" spans="1:20" customFormat="1" x14ac:dyDescent="0.25">
      <c r="A102" s="3" t="str">
        <f>INDEX('Orig (V1_BCK)'!$C:$C,MATCH($B102,'Orig (V1_BCK)'!$C:$C,0),1)</f>
        <v>L0082750--M9785960</v>
      </c>
      <c r="B102" s="3" t="str">
        <f>_xlfn.TEXTJOIN("-",FALSE,$C102,$I102,$J102)</f>
        <v>L0082750--M9785960</v>
      </c>
      <c r="C102" s="2" t="s">
        <v>850</v>
      </c>
      <c r="D102" s="2" t="s">
        <v>851</v>
      </c>
      <c r="E102" s="2" t="s">
        <v>852</v>
      </c>
      <c r="F102" s="2" t="s">
        <v>853</v>
      </c>
      <c r="G102" s="2" t="s">
        <v>2235</v>
      </c>
      <c r="H102" s="2" t="s">
        <v>2235</v>
      </c>
      <c r="I102" s="2"/>
      <c r="J102" s="2" t="s">
        <v>819</v>
      </c>
      <c r="K102" s="2" t="s">
        <v>2228</v>
      </c>
      <c r="L102" s="2"/>
      <c r="M102" s="2" t="s">
        <v>820</v>
      </c>
      <c r="N102" s="2"/>
      <c r="O102" s="2" t="s">
        <v>74</v>
      </c>
      <c r="P102" s="2"/>
      <c r="Q102" s="2" t="s">
        <v>8</v>
      </c>
      <c r="R102" s="2"/>
      <c r="S102" s="2"/>
      <c r="T102" s="2" t="s">
        <v>2083</v>
      </c>
    </row>
    <row r="103" spans="1:20" customFormat="1" ht="30" x14ac:dyDescent="0.25">
      <c r="A103" s="3" t="str">
        <f>INDEX('Orig (V1_BCK)'!$C:$C,MATCH($B103,'Orig (V1_BCK)'!$C:$C,0),1)</f>
        <v>L1210414--G3229318</v>
      </c>
      <c r="B103" s="3" t="str">
        <f>_xlfn.TEXTJOIN("-",FALSE,$C103,$I103,$J103)</f>
        <v>L1210414--G3229318</v>
      </c>
      <c r="C103" s="2" t="s">
        <v>860</v>
      </c>
      <c r="D103" s="2" t="s">
        <v>197</v>
      </c>
      <c r="E103" s="2" t="s">
        <v>21</v>
      </c>
      <c r="F103" s="2" t="s">
        <v>861</v>
      </c>
      <c r="G103" s="2" t="s">
        <v>2238</v>
      </c>
      <c r="H103" s="2" t="s">
        <v>862</v>
      </c>
      <c r="I103" s="2"/>
      <c r="J103" s="2" t="s">
        <v>791</v>
      </c>
      <c r="K103" s="2" t="s">
        <v>2219</v>
      </c>
      <c r="L103" s="2"/>
      <c r="M103" s="2" t="s">
        <v>524</v>
      </c>
      <c r="N103" s="2"/>
      <c r="O103" s="2" t="s">
        <v>792</v>
      </c>
      <c r="P103" s="2"/>
      <c r="Q103" s="2" t="s">
        <v>793</v>
      </c>
      <c r="R103" s="2"/>
      <c r="S103" s="2"/>
      <c r="T103" s="2" t="s">
        <v>2046</v>
      </c>
    </row>
    <row r="104" spans="1:20" customFormat="1" x14ac:dyDescent="0.25">
      <c r="A104" s="3" t="str">
        <f>INDEX('Orig (V1_BCK)'!$C:$C,MATCH($B104,'Orig (V1_BCK)'!$C:$C,0),1)</f>
        <v>L3456848-L3456848-</v>
      </c>
      <c r="B104" s="3" t="str">
        <f>_xlfn.TEXTJOIN("-",FALSE,$C104,$I104,$J104)</f>
        <v>L3456848-L3456848-</v>
      </c>
      <c r="C104" s="2" t="s">
        <v>84</v>
      </c>
      <c r="D104" s="2" t="s">
        <v>85</v>
      </c>
      <c r="E104" s="2" t="s">
        <v>86</v>
      </c>
      <c r="F104" s="2" t="s">
        <v>87</v>
      </c>
      <c r="G104" s="2" t="s">
        <v>2067</v>
      </c>
      <c r="H104" s="2" t="s">
        <v>88</v>
      </c>
      <c r="I104" s="2" t="s">
        <v>84</v>
      </c>
      <c r="J104" s="2"/>
      <c r="K104" s="2" t="s">
        <v>2068</v>
      </c>
      <c r="L104" s="2" t="s">
        <v>85</v>
      </c>
      <c r="M104" s="2"/>
      <c r="N104" s="2" t="s">
        <v>86</v>
      </c>
      <c r="O104" s="2"/>
      <c r="P104" s="2" t="s">
        <v>87</v>
      </c>
      <c r="Q104" s="2"/>
      <c r="R104" s="2"/>
      <c r="S104" s="2"/>
      <c r="T104" s="2" t="s">
        <v>2038</v>
      </c>
    </row>
    <row r="105" spans="1:20" customFormat="1" ht="30" x14ac:dyDescent="0.25">
      <c r="A105" s="3" t="str">
        <f>INDEX('Orig (V1_BCK)'!$C:$C,MATCH($B105,'Orig (V1_BCK)'!$C:$C,0),1)</f>
        <v>L4314652-L4314652-</v>
      </c>
      <c r="B105" s="3" t="str">
        <f>_xlfn.TEXTJOIN("-",FALSE,$C105,$I105,$J105)</f>
        <v>L4314652-L4314652-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2044</v>
      </c>
      <c r="H105" s="2" t="s">
        <v>31</v>
      </c>
      <c r="I105" s="2" t="s">
        <v>27</v>
      </c>
      <c r="J105" s="2"/>
      <c r="K105" s="2" t="s">
        <v>2045</v>
      </c>
      <c r="L105" s="2" t="s">
        <v>28</v>
      </c>
      <c r="M105" s="2"/>
      <c r="N105" s="2" t="s">
        <v>29</v>
      </c>
      <c r="O105" s="2"/>
      <c r="P105" s="2" t="s">
        <v>30</v>
      </c>
      <c r="Q105" s="2"/>
      <c r="R105" s="2"/>
      <c r="S105" s="2"/>
      <c r="T105" s="2" t="s">
        <v>2046</v>
      </c>
    </row>
    <row r="106" spans="1:20" customFormat="1" x14ac:dyDescent="0.25">
      <c r="A106" s="3" t="str">
        <f>INDEX('Orig (V1_BCK)'!$C:$C,MATCH($B106,'Orig (V1_BCK)'!$C:$C,0),1)</f>
        <v>L4660562-L4660562-</v>
      </c>
      <c r="B106" s="3" t="str">
        <f>_xlfn.TEXTJOIN("-",FALSE,$C106,$I106,$J106)</f>
        <v>L4660562-L4660562-</v>
      </c>
      <c r="C106" s="2" t="s">
        <v>735</v>
      </c>
      <c r="D106" s="2" t="s">
        <v>197</v>
      </c>
      <c r="E106" s="2" t="s">
        <v>736</v>
      </c>
      <c r="F106" s="2" t="s">
        <v>704</v>
      </c>
      <c r="G106" s="2" t="s">
        <v>2197</v>
      </c>
      <c r="H106" s="2" t="s">
        <v>737</v>
      </c>
      <c r="I106" s="2" t="s">
        <v>735</v>
      </c>
      <c r="J106" s="2"/>
      <c r="K106" s="2" t="s">
        <v>2198</v>
      </c>
      <c r="L106" s="2" t="s">
        <v>197</v>
      </c>
      <c r="M106" s="2"/>
      <c r="N106" s="2" t="s">
        <v>736</v>
      </c>
      <c r="O106" s="2"/>
      <c r="P106" s="2" t="s">
        <v>704</v>
      </c>
      <c r="Q106" s="2"/>
      <c r="R106" s="2"/>
      <c r="S106" s="2"/>
      <c r="T106" s="2" t="s">
        <v>2038</v>
      </c>
    </row>
    <row r="107" spans="1:20" customFormat="1" ht="30" x14ac:dyDescent="0.25">
      <c r="A107" s="3" t="str">
        <f>INDEX('Orig (V1_BCK)'!$C:$C,MATCH($B107,'Orig (V1_BCK)'!$C:$C,0),1)</f>
        <v>L5233121-L5233121-</v>
      </c>
      <c r="B107" s="3" t="str">
        <f>_xlfn.TEXTJOIN("-",FALSE,$C107,$I107,$J107)</f>
        <v>L5233121-L5233121-</v>
      </c>
      <c r="C107" s="2" t="s">
        <v>702</v>
      </c>
      <c r="D107" s="2" t="s">
        <v>703</v>
      </c>
      <c r="E107" s="2" t="s">
        <v>704</v>
      </c>
      <c r="F107" s="2" t="s">
        <v>705</v>
      </c>
      <c r="G107" s="2" t="s">
        <v>2184</v>
      </c>
      <c r="H107" s="2" t="s">
        <v>706</v>
      </c>
      <c r="I107" s="2" t="s">
        <v>702</v>
      </c>
      <c r="J107" s="2"/>
      <c r="K107" s="2" t="s">
        <v>2185</v>
      </c>
      <c r="L107" s="2" t="s">
        <v>703</v>
      </c>
      <c r="M107" s="2"/>
      <c r="N107" s="2" t="s">
        <v>704</v>
      </c>
      <c r="O107" s="2"/>
      <c r="P107" s="2" t="s">
        <v>705</v>
      </c>
      <c r="Q107" s="2"/>
      <c r="R107" s="2"/>
      <c r="S107" s="2"/>
      <c r="T107" s="2" t="s">
        <v>2080</v>
      </c>
    </row>
    <row r="108" spans="1:20" ht="30" x14ac:dyDescent="0.25">
      <c r="A108" s="3" t="e">
        <f>INDEX('Orig (V1_BCK)'!$C:$C,MATCH($B108,'Orig (V1_BCK)'!$C:$C,0),1)</f>
        <v>#N/A</v>
      </c>
      <c r="B108" s="3" t="str">
        <f>_xlfn.TEXTJOIN("-",FALSE,$C108,$I108,$J108)</f>
        <v>L6727773-J5768651-</v>
      </c>
      <c r="C108" s="2" t="s">
        <v>1237</v>
      </c>
      <c r="D108" s="2" t="s">
        <v>135</v>
      </c>
      <c r="E108" s="2" t="s">
        <v>1238</v>
      </c>
      <c r="F108" s="2" t="s">
        <v>74</v>
      </c>
      <c r="G108" s="2" t="s">
        <v>2363</v>
      </c>
      <c r="H108" s="2" t="s">
        <v>1239</v>
      </c>
      <c r="I108" s="2" t="s">
        <v>660</v>
      </c>
      <c r="J108" s="2"/>
      <c r="K108" s="2" t="s">
        <v>2384</v>
      </c>
      <c r="L108" s="2" t="s">
        <v>661</v>
      </c>
      <c r="M108" s="2"/>
      <c r="N108" s="2" t="s">
        <v>662</v>
      </c>
      <c r="O108" s="2"/>
      <c r="P108" s="2" t="s">
        <v>663</v>
      </c>
      <c r="Q108" s="2"/>
      <c r="R108" s="2"/>
      <c r="S108" s="2"/>
      <c r="T108" s="2" t="s">
        <v>2080</v>
      </c>
    </row>
    <row r="109" spans="1:20" customFormat="1" x14ac:dyDescent="0.25">
      <c r="A109" s="3" t="str">
        <f>INDEX('Orig (V1_BCK)'!$C:$C,MATCH($B109,'Orig (V1_BCK)'!$C:$C,0),1)</f>
        <v>L7371274--J1842217</v>
      </c>
      <c r="B109" s="3" t="str">
        <f>_xlfn.TEXTJOIN("-",FALSE,$C109,$I109,$J109)</f>
        <v>L7371274--J1842217</v>
      </c>
      <c r="C109" s="2" t="s">
        <v>453</v>
      </c>
      <c r="D109" s="2" t="s">
        <v>454</v>
      </c>
      <c r="E109" s="2" t="s">
        <v>455</v>
      </c>
      <c r="F109" s="2" t="s">
        <v>29</v>
      </c>
      <c r="G109" s="2" t="s">
        <v>2086</v>
      </c>
      <c r="H109" s="2" t="s">
        <v>456</v>
      </c>
      <c r="I109" s="2"/>
      <c r="J109" s="2" t="s">
        <v>457</v>
      </c>
      <c r="K109" s="2" t="s">
        <v>2087</v>
      </c>
      <c r="L109" s="2"/>
      <c r="M109" s="2" t="s">
        <v>458</v>
      </c>
      <c r="N109" s="2"/>
      <c r="O109" s="2" t="s">
        <v>459</v>
      </c>
      <c r="P109" s="2"/>
      <c r="Q109" s="2" t="s">
        <v>460</v>
      </c>
      <c r="R109" s="2"/>
      <c r="S109" s="2"/>
      <c r="T109" s="2" t="s">
        <v>2083</v>
      </c>
    </row>
    <row r="110" spans="1:20" customFormat="1" ht="30" x14ac:dyDescent="0.25">
      <c r="A110" s="3" t="str">
        <f>INDEX('Orig (V1_BCK)'!$C:$C,MATCH($B110,'Orig (V1_BCK)'!$C:$C,0),1)</f>
        <v>L7481817--R5955364</v>
      </c>
      <c r="B110" s="3" t="str">
        <f>_xlfn.TEXTJOIN("-",FALSE,$C110,$I110,$J110)</f>
        <v>L7481817--R5955364</v>
      </c>
      <c r="C110" s="2" t="s">
        <v>629</v>
      </c>
      <c r="D110" s="2" t="s">
        <v>28</v>
      </c>
      <c r="E110" s="2" t="s">
        <v>515</v>
      </c>
      <c r="F110" s="2" t="s">
        <v>557</v>
      </c>
      <c r="G110" s="2" t="s">
        <v>2160</v>
      </c>
      <c r="H110" s="2" t="s">
        <v>630</v>
      </c>
      <c r="I110" s="2"/>
      <c r="J110" s="2" t="s">
        <v>631</v>
      </c>
      <c r="K110" s="2" t="s">
        <v>2161</v>
      </c>
      <c r="L110" s="2"/>
      <c r="M110" s="2" t="s">
        <v>632</v>
      </c>
      <c r="N110" s="2"/>
      <c r="O110" s="2" t="s">
        <v>633</v>
      </c>
      <c r="P110" s="2"/>
      <c r="Q110" s="2" t="s">
        <v>634</v>
      </c>
      <c r="R110" s="2"/>
      <c r="S110" s="2"/>
      <c r="T110" s="2" t="s">
        <v>2071</v>
      </c>
    </row>
    <row r="111" spans="1:20" customFormat="1" ht="30" x14ac:dyDescent="0.25">
      <c r="A111" s="3" t="str">
        <f>INDEX('Orig (V1_BCK)'!$C:$C,MATCH($B111,'Orig (V1_BCK)'!$C:$C,0),1)</f>
        <v>L7514498-L7514498-</v>
      </c>
      <c r="B111" s="3" t="str">
        <f>_xlfn.TEXTJOIN("-",FALSE,$C111,$I111,$J111)</f>
        <v>L7514498-L7514498-</v>
      </c>
      <c r="C111" s="2" t="s">
        <v>751</v>
      </c>
      <c r="D111" s="2" t="s">
        <v>197</v>
      </c>
      <c r="E111" s="2" t="s">
        <v>752</v>
      </c>
      <c r="F111" s="2" t="s">
        <v>753</v>
      </c>
      <c r="G111" s="2" t="s">
        <v>2204</v>
      </c>
      <c r="H111" s="2" t="s">
        <v>754</v>
      </c>
      <c r="I111" s="2" t="s">
        <v>751</v>
      </c>
      <c r="J111" s="2"/>
      <c r="K111" s="2" t="s">
        <v>2205</v>
      </c>
      <c r="L111" s="2" t="s">
        <v>197</v>
      </c>
      <c r="M111" s="2"/>
      <c r="N111" s="2" t="s">
        <v>752</v>
      </c>
      <c r="O111" s="2"/>
      <c r="P111" s="2" t="s">
        <v>753</v>
      </c>
      <c r="Q111" s="2"/>
      <c r="R111" s="2"/>
      <c r="S111" s="2"/>
      <c r="T111" s="2" t="s">
        <v>47</v>
      </c>
    </row>
    <row r="112" spans="1:20" ht="30" x14ac:dyDescent="0.25">
      <c r="A112" s="3" t="e">
        <f>INDEX('Orig (V1_BCK)'!$C:$C,MATCH($B112,'Orig (V1_BCK)'!$C:$C,0),1)</f>
        <v>#N/A</v>
      </c>
      <c r="B112" s="3" t="str">
        <f>_xlfn.TEXTJOIN("-",FALSE,$C112,$I112,$J112)</f>
        <v>L7848373--</v>
      </c>
      <c r="C112" s="2" t="s">
        <v>479</v>
      </c>
      <c r="D112" s="2" t="s">
        <v>197</v>
      </c>
      <c r="E112" s="2" t="s">
        <v>11</v>
      </c>
      <c r="F112" s="2" t="s">
        <v>480</v>
      </c>
      <c r="G112" s="2" t="s">
        <v>2095</v>
      </c>
      <c r="H112" s="2" t="s">
        <v>481</v>
      </c>
      <c r="I112" s="2"/>
      <c r="J112" s="2"/>
      <c r="K112" s="2" t="s">
        <v>2096</v>
      </c>
      <c r="L112" s="2"/>
      <c r="M112" s="2"/>
      <c r="N112" s="2"/>
      <c r="O112" s="2"/>
      <c r="P112" s="2"/>
      <c r="Q112" s="2"/>
      <c r="R112" s="2"/>
      <c r="S112" s="2"/>
      <c r="T112" s="2" t="s">
        <v>2080</v>
      </c>
    </row>
    <row r="113" spans="1:20" customFormat="1" ht="30" x14ac:dyDescent="0.25">
      <c r="A113" s="3" t="str">
        <f>INDEX('Orig (V1_BCK)'!$C:$C,MATCH($B113,'Orig (V1_BCK)'!$C:$C,0),1)</f>
        <v>M0012709-M0012709-</v>
      </c>
      <c r="B113" s="3" t="str">
        <f>_xlfn.TEXTJOIN("-",FALSE,$C113,$I113,$J113)</f>
        <v>M0012709-M0012709-</v>
      </c>
      <c r="C113" s="2" t="s">
        <v>580</v>
      </c>
      <c r="D113" s="2" t="s">
        <v>19</v>
      </c>
      <c r="E113" s="2" t="s">
        <v>581</v>
      </c>
      <c r="F113" s="2" t="s">
        <v>582</v>
      </c>
      <c r="G113" s="2" t="s">
        <v>2140</v>
      </c>
      <c r="H113" s="2" t="s">
        <v>583</v>
      </c>
      <c r="I113" s="2" t="s">
        <v>580</v>
      </c>
      <c r="J113" s="2"/>
      <c r="K113" s="2" t="s">
        <v>2141</v>
      </c>
      <c r="L113" s="2" t="s">
        <v>19</v>
      </c>
      <c r="M113" s="2"/>
      <c r="N113" s="2" t="s">
        <v>581</v>
      </c>
      <c r="O113" s="2"/>
      <c r="P113" s="2" t="s">
        <v>582</v>
      </c>
      <c r="Q113" s="2"/>
      <c r="R113" s="2"/>
      <c r="S113" s="2"/>
      <c r="T113" s="2" t="s">
        <v>2038</v>
      </c>
    </row>
    <row r="114" spans="1:20" customFormat="1" x14ac:dyDescent="0.25">
      <c r="A114" s="3" t="str">
        <f>INDEX('Orig (V1_BCK)'!$C:$C,MATCH($B114,'Orig (V1_BCK)'!$C:$C,0),1)</f>
        <v>M0144876--V2068289</v>
      </c>
      <c r="B114" s="3" t="str">
        <f>_xlfn.TEXTJOIN("-",FALSE,$C114,$I114,$J114)</f>
        <v>M0144876--V2068289</v>
      </c>
      <c r="C114" s="2" t="s">
        <v>728</v>
      </c>
      <c r="D114" s="2" t="s">
        <v>729</v>
      </c>
      <c r="E114" s="2" t="s">
        <v>730</v>
      </c>
      <c r="F114" s="2" t="s">
        <v>731</v>
      </c>
      <c r="G114" s="2" t="s">
        <v>2195</v>
      </c>
      <c r="H114" s="2" t="s">
        <v>2195</v>
      </c>
      <c r="I114" s="2"/>
      <c r="J114" s="2" t="s">
        <v>732</v>
      </c>
      <c r="K114" s="2" t="s">
        <v>2196</v>
      </c>
      <c r="L114" s="2"/>
      <c r="M114" s="2" t="s">
        <v>60</v>
      </c>
      <c r="N114" s="2"/>
      <c r="O114" s="2" t="s">
        <v>733</v>
      </c>
      <c r="P114" s="2"/>
      <c r="Q114" s="2" t="s">
        <v>734</v>
      </c>
      <c r="R114" s="2"/>
      <c r="S114" s="2"/>
      <c r="T114" s="2" t="s">
        <v>2083</v>
      </c>
    </row>
    <row r="115" spans="1:20" customFormat="1" ht="30" x14ac:dyDescent="0.25">
      <c r="A115" s="3" t="str">
        <f>INDEX('Orig (V1_BCK)'!$C:$C,MATCH($B115,'Orig (V1_BCK)'!$C:$C,0),1)</f>
        <v>M0543103-M0543103-</v>
      </c>
      <c r="B115" s="3" t="str">
        <f>_xlfn.TEXTJOIN("-",FALSE,$C115,$I115,$J115)</f>
        <v>M0543103-M0543103-</v>
      </c>
      <c r="C115" s="2" t="s">
        <v>713</v>
      </c>
      <c r="D115" s="2" t="s">
        <v>19</v>
      </c>
      <c r="E115" s="2" t="s">
        <v>44</v>
      </c>
      <c r="F115" s="2" t="s">
        <v>714</v>
      </c>
      <c r="G115" s="2" t="s">
        <v>2188</v>
      </c>
      <c r="H115" s="2" t="s">
        <v>715</v>
      </c>
      <c r="I115" s="2" t="s">
        <v>713</v>
      </c>
      <c r="J115" s="2"/>
      <c r="K115" s="2" t="s">
        <v>2189</v>
      </c>
      <c r="L115" s="2" t="s">
        <v>19</v>
      </c>
      <c r="M115" s="2"/>
      <c r="N115" s="2" t="s">
        <v>44</v>
      </c>
      <c r="O115" s="2"/>
      <c r="P115" s="2" t="s">
        <v>714</v>
      </c>
      <c r="Q115" s="2"/>
      <c r="R115" s="2"/>
      <c r="S115" s="2"/>
      <c r="T115" s="2" t="s">
        <v>2038</v>
      </c>
    </row>
    <row r="116" spans="1:20" customFormat="1" x14ac:dyDescent="0.25">
      <c r="A116" s="3" t="str">
        <f>INDEX('Orig (V1_BCK)'!$C:$C,MATCH($B116,'Orig (V1_BCK)'!$C:$C,0),1)</f>
        <v>M0656003-M0656003-</v>
      </c>
      <c r="B116" s="3" t="str">
        <f>_xlfn.TEXTJOIN("-",FALSE,$C116,$I116,$J116)</f>
        <v>M0656003-M0656003-</v>
      </c>
      <c r="C116" s="2" t="s">
        <v>544</v>
      </c>
      <c r="D116" s="2" t="s">
        <v>191</v>
      </c>
      <c r="E116" s="2" t="s">
        <v>545</v>
      </c>
      <c r="F116" s="2" t="s">
        <v>546</v>
      </c>
      <c r="G116" s="2" t="s">
        <v>2123</v>
      </c>
      <c r="H116" s="2" t="s">
        <v>547</v>
      </c>
      <c r="I116" s="2" t="s">
        <v>544</v>
      </c>
      <c r="J116" s="2"/>
      <c r="K116" s="2" t="s">
        <v>2124</v>
      </c>
      <c r="L116" s="2" t="s">
        <v>191</v>
      </c>
      <c r="M116" s="2"/>
      <c r="N116" s="2" t="s">
        <v>545</v>
      </c>
      <c r="O116" s="2"/>
      <c r="P116" s="2" t="s">
        <v>546</v>
      </c>
      <c r="Q116" s="2"/>
      <c r="R116" s="2"/>
      <c r="S116" s="2"/>
      <c r="T116" s="2" t="s">
        <v>2071</v>
      </c>
    </row>
    <row r="117" spans="1:20" customFormat="1" x14ac:dyDescent="0.25">
      <c r="A117" s="3" t="str">
        <f>INDEX('Orig (V1_BCK)'!$C:$C,MATCH($B117,'Orig (V1_BCK)'!$C:$C,0),1)</f>
        <v>M1155913--I7600760</v>
      </c>
      <c r="B117" s="3" t="str">
        <f>_xlfn.TEXTJOIN("-",FALSE,$C117,$I117,$J117)</f>
        <v>M1155913--I7600760</v>
      </c>
      <c r="C117" s="2" t="s">
        <v>868</v>
      </c>
      <c r="D117" s="2" t="s">
        <v>6</v>
      </c>
      <c r="E117" s="2" t="s">
        <v>798</v>
      </c>
      <c r="F117" s="2" t="s">
        <v>869</v>
      </c>
      <c r="G117" s="2" t="s">
        <v>2240</v>
      </c>
      <c r="H117" s="2" t="s">
        <v>870</v>
      </c>
      <c r="I117" s="2"/>
      <c r="J117" s="2" t="s">
        <v>822</v>
      </c>
      <c r="K117" s="2" t="s">
        <v>2229</v>
      </c>
      <c r="L117" s="2"/>
      <c r="M117" s="2" t="s">
        <v>823</v>
      </c>
      <c r="N117" s="2"/>
      <c r="O117" s="2" t="s">
        <v>824</v>
      </c>
      <c r="P117" s="2"/>
      <c r="Q117" s="2" t="s">
        <v>825</v>
      </c>
      <c r="R117" s="2"/>
      <c r="S117" s="2"/>
      <c r="T117" s="2" t="s">
        <v>2083</v>
      </c>
    </row>
    <row r="118" spans="1:20" customFormat="1" ht="30" x14ac:dyDescent="0.25">
      <c r="A118" s="3" t="str">
        <f>INDEX('Orig (V1_BCK)'!$C:$C,MATCH($B118,'Orig (V1_BCK)'!$C:$C,0),1)</f>
        <v>M1243839-M1243839-</v>
      </c>
      <c r="B118" s="3" t="str">
        <f>_xlfn.TEXTJOIN("-",FALSE,$C118,$I118,$J118)</f>
        <v>M1243839-M1243839-</v>
      </c>
      <c r="C118" s="2" t="s">
        <v>891</v>
      </c>
      <c r="D118" s="2" t="s">
        <v>892</v>
      </c>
      <c r="E118" s="2" t="s">
        <v>125</v>
      </c>
      <c r="F118" s="2" t="s">
        <v>74</v>
      </c>
      <c r="G118" s="2" t="s">
        <v>2249</v>
      </c>
      <c r="H118" s="2" t="s">
        <v>893</v>
      </c>
      <c r="I118" s="2" t="s">
        <v>891</v>
      </c>
      <c r="J118" s="2"/>
      <c r="K118" s="2" t="s">
        <v>2250</v>
      </c>
      <c r="L118" s="2" t="s">
        <v>892</v>
      </c>
      <c r="M118" s="2"/>
      <c r="N118" s="2" t="s">
        <v>125</v>
      </c>
      <c r="O118" s="2"/>
      <c r="P118" s="2" t="s">
        <v>74</v>
      </c>
      <c r="Q118" s="2"/>
      <c r="R118" s="2"/>
      <c r="S118" s="2"/>
      <c r="T118" s="2" t="s">
        <v>47</v>
      </c>
    </row>
    <row r="119" spans="1:20" customFormat="1" x14ac:dyDescent="0.25">
      <c r="A119" s="3" t="str">
        <f>INDEX('Orig (V1_BCK)'!$C:$C,MATCH($B119,'Orig (V1_BCK)'!$C:$C,0),1)</f>
        <v>M1426435--J1842217</v>
      </c>
      <c r="B119" s="3" t="str">
        <f>_xlfn.TEXTJOIN("-",FALSE,$C119,$I119,$J119)</f>
        <v>M1426435--J1842217</v>
      </c>
      <c r="C119" s="2" t="s">
        <v>571</v>
      </c>
      <c r="D119" s="2" t="s">
        <v>92</v>
      </c>
      <c r="E119" s="2" t="s">
        <v>572</v>
      </c>
      <c r="F119" s="2" t="s">
        <v>573</v>
      </c>
      <c r="G119" s="2" t="s">
        <v>2137</v>
      </c>
      <c r="H119" s="2" t="s">
        <v>574</v>
      </c>
      <c r="I119" s="2"/>
      <c r="J119" s="2" t="s">
        <v>457</v>
      </c>
      <c r="K119" s="2" t="s">
        <v>2087</v>
      </c>
      <c r="L119" s="2"/>
      <c r="M119" s="2" t="s">
        <v>458</v>
      </c>
      <c r="N119" s="2"/>
      <c r="O119" s="2" t="s">
        <v>459</v>
      </c>
      <c r="P119" s="2"/>
      <c r="Q119" s="2" t="s">
        <v>460</v>
      </c>
      <c r="R119" s="2"/>
      <c r="S119" s="2"/>
      <c r="T119" s="2" t="s">
        <v>2083</v>
      </c>
    </row>
    <row r="120" spans="1:20" ht="45" x14ac:dyDescent="0.25">
      <c r="A120" s="3" t="e">
        <f>INDEX('Orig (V1_BCK)'!$C:$C,MATCH($B120,'Orig (V1_BCK)'!$C:$C,0),1)</f>
        <v>#N/A</v>
      </c>
      <c r="B120" s="3" t="str">
        <f>_xlfn.TEXTJOIN("-",FALSE,$C120,$I120,$J120)</f>
        <v>M2406166-D9233924-</v>
      </c>
      <c r="C120" s="2" t="s">
        <v>1277</v>
      </c>
      <c r="D120" s="2" t="s">
        <v>1278</v>
      </c>
      <c r="E120" s="2" t="s">
        <v>1279</v>
      </c>
      <c r="F120" s="2" t="s">
        <v>1280</v>
      </c>
      <c r="G120" s="2" t="s">
        <v>2404</v>
      </c>
      <c r="H120" s="2" t="s">
        <v>1275</v>
      </c>
      <c r="I120" s="2" t="s">
        <v>1276</v>
      </c>
      <c r="J120" s="2"/>
      <c r="K120" s="2" t="s">
        <v>2405</v>
      </c>
      <c r="L120" s="2" t="s">
        <v>725</v>
      </c>
      <c r="M120" s="2"/>
      <c r="N120" s="2" t="s">
        <v>20</v>
      </c>
      <c r="O120" s="2"/>
      <c r="P120" s="2" t="s">
        <v>1145</v>
      </c>
      <c r="Q120" s="2"/>
      <c r="R120" s="2"/>
      <c r="S120" s="2"/>
      <c r="T120" s="2" t="s">
        <v>107</v>
      </c>
    </row>
    <row r="121" spans="1:20" customFormat="1" ht="30" x14ac:dyDescent="0.25">
      <c r="A121" s="3" t="str">
        <f>INDEX('Orig (V1_BCK)'!$C:$C,MATCH($B121,'Orig (V1_BCK)'!$C:$C,0),1)</f>
        <v>M2662009--I6825354</v>
      </c>
      <c r="B121" s="3" t="str">
        <f>_xlfn.TEXTJOIN("-",FALSE,$C121,$I121,$J121)</f>
        <v>M2662009--I6825354</v>
      </c>
      <c r="C121" s="2" t="s">
        <v>509</v>
      </c>
      <c r="D121" s="2" t="s">
        <v>19</v>
      </c>
      <c r="E121" s="2" t="s">
        <v>510</v>
      </c>
      <c r="F121" s="2" t="s">
        <v>511</v>
      </c>
      <c r="G121" s="2" t="s">
        <v>2110</v>
      </c>
      <c r="H121" s="2" t="s">
        <v>512</v>
      </c>
      <c r="I121" s="2"/>
      <c r="J121" s="2" t="s">
        <v>491</v>
      </c>
      <c r="K121" s="2" t="s">
        <v>2102</v>
      </c>
      <c r="L121" s="2"/>
      <c r="M121" s="2" t="s">
        <v>492</v>
      </c>
      <c r="N121" s="2"/>
      <c r="O121" s="2" t="s">
        <v>493</v>
      </c>
      <c r="P121" s="2"/>
      <c r="Q121" s="2" t="s">
        <v>60</v>
      </c>
      <c r="R121" s="2"/>
      <c r="S121" s="2"/>
      <c r="T121" s="2" t="s">
        <v>2083</v>
      </c>
    </row>
    <row r="122" spans="1:20" customFormat="1" x14ac:dyDescent="0.25">
      <c r="A122" s="3" t="str">
        <f>INDEX('Orig (V1_BCK)'!$C:$C,MATCH($B122,'Orig (V1_BCK)'!$C:$C,0),1)</f>
        <v>M2800289--A7527556</v>
      </c>
      <c r="B122" s="3" t="str">
        <f>_xlfn.TEXTJOIN("-",FALSE,$C122,$I122,$J122)</f>
        <v>M2800289--A7527556</v>
      </c>
      <c r="C122" s="2" t="s">
        <v>922</v>
      </c>
      <c r="D122" s="2" t="s">
        <v>568</v>
      </c>
      <c r="E122" s="2" t="s">
        <v>44</v>
      </c>
      <c r="F122" s="2" t="s">
        <v>704</v>
      </c>
      <c r="G122" s="2" t="s">
        <v>2261</v>
      </c>
      <c r="H122" s="2" t="s">
        <v>2261</v>
      </c>
      <c r="I122" s="2"/>
      <c r="J122" s="2" t="s">
        <v>923</v>
      </c>
      <c r="K122" s="2" t="s">
        <v>2262</v>
      </c>
      <c r="L122" s="2"/>
      <c r="M122" s="2" t="s">
        <v>924</v>
      </c>
      <c r="N122" s="2"/>
      <c r="O122" s="2" t="s">
        <v>925</v>
      </c>
      <c r="P122" s="2"/>
      <c r="Q122" s="2" t="s">
        <v>926</v>
      </c>
      <c r="R122" s="2"/>
      <c r="S122" s="2"/>
      <c r="T122" s="2" t="s">
        <v>2083</v>
      </c>
    </row>
    <row r="123" spans="1:20" customFormat="1" ht="30" x14ac:dyDescent="0.25">
      <c r="A123" s="3" t="str">
        <f>INDEX('Orig (V1_BCK)'!$C:$C,MATCH($B123,'Orig (V1_BCK)'!$C:$C,0),1)</f>
        <v>M3402949--V2925369</v>
      </c>
      <c r="B123" s="3" t="str">
        <f>_xlfn.TEXTJOIN("-",FALSE,$C123,$I123,$J123)</f>
        <v>M3402949--V2925369</v>
      </c>
      <c r="C123" s="2" t="s">
        <v>772</v>
      </c>
      <c r="D123" s="2" t="s">
        <v>19</v>
      </c>
      <c r="E123" s="2" t="s">
        <v>773</v>
      </c>
      <c r="F123" s="2" t="s">
        <v>700</v>
      </c>
      <c r="G123" s="2" t="s">
        <v>2212</v>
      </c>
      <c r="H123" s="2" t="s">
        <v>774</v>
      </c>
      <c r="I123" s="2"/>
      <c r="J123" s="2" t="s">
        <v>763</v>
      </c>
      <c r="K123" s="2" t="s">
        <v>2209</v>
      </c>
      <c r="L123" s="2"/>
      <c r="M123" s="2" t="s">
        <v>764</v>
      </c>
      <c r="N123" s="2"/>
      <c r="O123" s="2" t="s">
        <v>765</v>
      </c>
      <c r="P123" s="2"/>
      <c r="Q123" s="2" t="s">
        <v>766</v>
      </c>
      <c r="R123" s="2"/>
      <c r="S123" s="2"/>
      <c r="T123" s="2" t="s">
        <v>2083</v>
      </c>
    </row>
    <row r="124" spans="1:20" customFormat="1" x14ac:dyDescent="0.25">
      <c r="A124" s="3" t="str">
        <f>INDEX('Orig (V1_BCK)'!$C:$C,MATCH($B124,'Orig (V1_BCK)'!$C:$C,0),1)</f>
        <v>M3989973-M3989973-</v>
      </c>
      <c r="B124" s="3" t="str">
        <f>_xlfn.TEXTJOIN("-",FALSE,$C124,$I124,$J124)</f>
        <v>M3989973-M3989973-</v>
      </c>
      <c r="C124" s="2" t="s">
        <v>567</v>
      </c>
      <c r="D124" s="2" t="s">
        <v>568</v>
      </c>
      <c r="E124" s="2" t="s">
        <v>12</v>
      </c>
      <c r="F124" s="2" t="s">
        <v>569</v>
      </c>
      <c r="G124" s="2" t="s">
        <v>2135</v>
      </c>
      <c r="H124" s="2" t="s">
        <v>570</v>
      </c>
      <c r="I124" s="2" t="s">
        <v>567</v>
      </c>
      <c r="J124" s="2"/>
      <c r="K124" s="2" t="s">
        <v>2136</v>
      </c>
      <c r="L124" s="2" t="s">
        <v>568</v>
      </c>
      <c r="M124" s="2"/>
      <c r="N124" s="2" t="s">
        <v>12</v>
      </c>
      <c r="O124" s="2"/>
      <c r="P124" s="2" t="s">
        <v>569</v>
      </c>
      <c r="Q124" s="2"/>
      <c r="R124" s="2"/>
      <c r="S124" s="2"/>
      <c r="T124" s="2" t="s">
        <v>2071</v>
      </c>
    </row>
    <row r="125" spans="1:20" ht="30" x14ac:dyDescent="0.25">
      <c r="A125" s="3" t="e">
        <f>INDEX('Orig (V1_BCK)'!$C:$C,MATCH($B125,'Orig (V1_BCK)'!$C:$C,0),1)</f>
        <v>#N/A</v>
      </c>
      <c r="B125" s="3" t="str">
        <f>_xlfn.TEXTJOIN("-",FALSE,$C125,$I125,$J125)</f>
        <v>M4008365-J5768651-</v>
      </c>
      <c r="C125" s="2" t="s">
        <v>1217</v>
      </c>
      <c r="D125" s="2" t="s">
        <v>1218</v>
      </c>
      <c r="E125" s="2" t="s">
        <v>1219</v>
      </c>
      <c r="F125" s="2" t="s">
        <v>493</v>
      </c>
      <c r="G125" s="2" t="s">
        <v>2383</v>
      </c>
      <c r="H125" s="2" t="s">
        <v>1216</v>
      </c>
      <c r="I125" s="2" t="s">
        <v>660</v>
      </c>
      <c r="J125" s="2"/>
      <c r="K125" s="2" t="s">
        <v>2384</v>
      </c>
      <c r="L125" s="2" t="s">
        <v>661</v>
      </c>
      <c r="M125" s="2"/>
      <c r="N125" s="2" t="s">
        <v>662</v>
      </c>
      <c r="O125" s="2"/>
      <c r="P125" s="2" t="s">
        <v>663</v>
      </c>
      <c r="Q125" s="2"/>
      <c r="R125" s="2"/>
      <c r="S125" s="2"/>
      <c r="T125" s="2" t="s">
        <v>107</v>
      </c>
    </row>
    <row r="126" spans="1:20" customFormat="1" x14ac:dyDescent="0.25">
      <c r="A126" s="3" t="str">
        <f>INDEX('Orig (V1_BCK)'!$C:$C,MATCH($B126,'Orig (V1_BCK)'!$C:$C,0),1)</f>
        <v>M5904071-M5904071-</v>
      </c>
      <c r="B126" s="3" t="str">
        <f>_xlfn.TEXTJOIN("-",FALSE,$C126,$I126,$J126)</f>
        <v>M5904071-M5904071-</v>
      </c>
      <c r="C126" s="2" t="s">
        <v>624</v>
      </c>
      <c r="D126" s="2" t="s">
        <v>625</v>
      </c>
      <c r="E126" s="2" t="s">
        <v>626</v>
      </c>
      <c r="F126" s="2" t="s">
        <v>627</v>
      </c>
      <c r="G126" s="2" t="s">
        <v>2158</v>
      </c>
      <c r="H126" s="2" t="s">
        <v>628</v>
      </c>
      <c r="I126" s="2" t="s">
        <v>624</v>
      </c>
      <c r="J126" s="2"/>
      <c r="K126" s="2" t="s">
        <v>2159</v>
      </c>
      <c r="L126" s="2" t="s">
        <v>625</v>
      </c>
      <c r="M126" s="2"/>
      <c r="N126" s="2" t="s">
        <v>626</v>
      </c>
      <c r="O126" s="2"/>
      <c r="P126" s="2" t="s">
        <v>627</v>
      </c>
      <c r="Q126" s="2"/>
      <c r="R126" s="2"/>
      <c r="S126" s="2"/>
      <c r="T126" s="2" t="s">
        <v>2071</v>
      </c>
    </row>
    <row r="127" spans="1:20" ht="30" x14ac:dyDescent="0.25">
      <c r="A127" s="3" t="e">
        <f>INDEX('Orig (V1_BCK)'!$C:$C,MATCH($B127,'Orig (V1_BCK)'!$C:$C,0),1)</f>
        <v>#N/A</v>
      </c>
      <c r="B127" s="3" t="str">
        <f>_xlfn.TEXTJOIN("-",FALSE,$C127,$I127,$J127)</f>
        <v>M6065395-J0041893-</v>
      </c>
      <c r="C127" s="2" t="s">
        <v>1269</v>
      </c>
      <c r="D127" s="2" t="s">
        <v>1270</v>
      </c>
      <c r="E127" s="2" t="s">
        <v>741</v>
      </c>
      <c r="F127" s="2" t="s">
        <v>1271</v>
      </c>
      <c r="G127" s="2" t="s">
        <v>2403</v>
      </c>
      <c r="H127" s="2" t="s">
        <v>1272</v>
      </c>
      <c r="I127" s="2" t="s">
        <v>1182</v>
      </c>
      <c r="J127" s="2"/>
      <c r="K127" s="2" t="s">
        <v>2374</v>
      </c>
      <c r="L127" s="2" t="s">
        <v>1183</v>
      </c>
      <c r="M127" s="2"/>
      <c r="N127" s="2" t="s">
        <v>1184</v>
      </c>
      <c r="O127" s="2"/>
      <c r="P127" s="2" t="s">
        <v>1145</v>
      </c>
      <c r="Q127" s="2"/>
      <c r="R127" s="2"/>
      <c r="S127" s="2"/>
      <c r="T127" s="2" t="s">
        <v>107</v>
      </c>
    </row>
    <row r="128" spans="1:20" customFormat="1" x14ac:dyDescent="0.25">
      <c r="A128" s="3" t="str">
        <f>INDEX('Orig (V1_BCK)'!$C:$C,MATCH($B128,'Orig (V1_BCK)'!$C:$C,0),1)</f>
        <v>M6667228--G3229318</v>
      </c>
      <c r="B128" s="3" t="str">
        <f>_xlfn.TEXTJOIN("-",FALSE,$C128,$I128,$J128)</f>
        <v>M6667228--G3229318</v>
      </c>
      <c r="C128" s="2" t="s">
        <v>863</v>
      </c>
      <c r="D128" s="2" t="s">
        <v>864</v>
      </c>
      <c r="E128" s="2" t="s">
        <v>865</v>
      </c>
      <c r="F128" s="2" t="s">
        <v>866</v>
      </c>
      <c r="G128" s="2" t="s">
        <v>2239</v>
      </c>
      <c r="H128" s="2" t="s">
        <v>867</v>
      </c>
      <c r="I128" s="2"/>
      <c r="J128" s="2" t="s">
        <v>791</v>
      </c>
      <c r="K128" s="2" t="s">
        <v>2219</v>
      </c>
      <c r="L128" s="2"/>
      <c r="M128" s="2" t="s">
        <v>524</v>
      </c>
      <c r="N128" s="2"/>
      <c r="O128" s="2" t="s">
        <v>792</v>
      </c>
      <c r="P128" s="2"/>
      <c r="Q128" s="2" t="s">
        <v>793</v>
      </c>
      <c r="R128" s="2"/>
      <c r="S128" s="2"/>
      <c r="T128" s="2" t="s">
        <v>2046</v>
      </c>
    </row>
    <row r="129" spans="1:20" ht="30" x14ac:dyDescent="0.25">
      <c r="A129" s="3" t="e">
        <f>INDEX('Orig (V1_BCK)'!$C:$C,MATCH($B129,'Orig (V1_BCK)'!$C:$C,0),1)</f>
        <v>#N/A</v>
      </c>
      <c r="B129" s="3" t="str">
        <f>_xlfn.TEXTJOIN("-",FALSE,$C129,$I129,$J129)</f>
        <v>M7044533--</v>
      </c>
      <c r="C129" s="2" t="s">
        <v>1207</v>
      </c>
      <c r="D129" s="2" t="s">
        <v>1208</v>
      </c>
      <c r="E129" s="2" t="s">
        <v>1209</v>
      </c>
      <c r="F129" s="2" t="s">
        <v>1210</v>
      </c>
      <c r="G129" s="2" t="s">
        <v>2382</v>
      </c>
      <c r="H129" s="2" t="s">
        <v>1211</v>
      </c>
      <c r="I129" s="2"/>
      <c r="J129" s="2"/>
      <c r="K129" s="2" t="s">
        <v>2377</v>
      </c>
      <c r="L129" s="2"/>
      <c r="M129" s="2"/>
      <c r="N129" s="2"/>
      <c r="O129" s="2"/>
      <c r="P129" s="2"/>
      <c r="Q129" s="2"/>
      <c r="R129" s="2"/>
      <c r="S129" s="2"/>
      <c r="T129" s="2" t="s">
        <v>2071</v>
      </c>
    </row>
    <row r="130" spans="1:20" ht="30" x14ac:dyDescent="0.25">
      <c r="A130" s="3" t="e">
        <f>INDEX('Orig (V1_BCK)'!$C:$C,MATCH($B130,'Orig (V1_BCK)'!$C:$C,0),1)</f>
        <v>#N/A</v>
      </c>
      <c r="B130" s="3" t="str">
        <f>_xlfn.TEXTJOIN("-",FALSE,$C130,$I130,$J130)</f>
        <v>M7207713-J0041893-</v>
      </c>
      <c r="C130" s="2" t="s">
        <v>1179</v>
      </c>
      <c r="D130" s="2" t="s">
        <v>6</v>
      </c>
      <c r="E130" s="2" t="s">
        <v>1180</v>
      </c>
      <c r="F130" s="2" t="s">
        <v>2372</v>
      </c>
      <c r="G130" s="2" t="s">
        <v>2373</v>
      </c>
      <c r="H130" s="2" t="s">
        <v>1181</v>
      </c>
      <c r="I130" s="2" t="s">
        <v>1182</v>
      </c>
      <c r="J130" s="2"/>
      <c r="K130" s="2" t="s">
        <v>2374</v>
      </c>
      <c r="L130" s="2" t="s">
        <v>1183</v>
      </c>
      <c r="M130" s="2"/>
      <c r="N130" s="2" t="s">
        <v>1184</v>
      </c>
      <c r="O130" s="2"/>
      <c r="P130" s="2" t="s">
        <v>1145</v>
      </c>
      <c r="Q130" s="2"/>
      <c r="R130" s="2"/>
      <c r="S130" s="2"/>
      <c r="T130" s="2" t="s">
        <v>2375</v>
      </c>
    </row>
    <row r="131" spans="1:20" ht="30" x14ac:dyDescent="0.25">
      <c r="A131" s="3" t="e">
        <f>INDEX('Orig (V1_BCK)'!$C:$C,MATCH($B131,'Orig (V1_BCK)'!$C:$C,0),1)</f>
        <v>#N/A</v>
      </c>
      <c r="B131" s="3" t="str">
        <f>_xlfn.TEXTJOIN("-",FALSE,$C131,$I131,$J131)</f>
        <v>M7207713--</v>
      </c>
      <c r="C131" s="2" t="s">
        <v>1179</v>
      </c>
      <c r="D131" s="2" t="s">
        <v>6</v>
      </c>
      <c r="E131" s="2" t="s">
        <v>1180</v>
      </c>
      <c r="F131" s="2" t="s">
        <v>2372</v>
      </c>
      <c r="G131" s="2" t="s">
        <v>2394</v>
      </c>
      <c r="H131" s="2" t="s">
        <v>1250</v>
      </c>
      <c r="I131" s="2"/>
      <c r="J131" s="2"/>
      <c r="K131" s="2" t="s">
        <v>2393</v>
      </c>
      <c r="L131" s="2"/>
      <c r="M131" s="2"/>
      <c r="N131" s="2"/>
      <c r="O131" s="2"/>
      <c r="P131" s="2"/>
      <c r="Q131" s="2"/>
      <c r="R131" s="2"/>
      <c r="S131" s="2"/>
      <c r="T131" s="2" t="s">
        <v>2375</v>
      </c>
    </row>
    <row r="132" spans="1:20" customFormat="1" ht="30" x14ac:dyDescent="0.25">
      <c r="A132" s="3" t="str">
        <f>INDEX('Orig (V1_BCK)'!$C:$C,MATCH($B132,'Orig (V1_BCK)'!$C:$C,0),1)</f>
        <v>M7668816--J5391663</v>
      </c>
      <c r="B132" s="3" t="str">
        <f>_xlfn.TEXTJOIN("-",FALSE,$C132,$I132,$J132)</f>
        <v>M7668816--J5391663</v>
      </c>
      <c r="C132" s="2" t="s">
        <v>18</v>
      </c>
      <c r="D132" s="2" t="s">
        <v>19</v>
      </c>
      <c r="E132" s="2" t="s">
        <v>20</v>
      </c>
      <c r="F132" s="2" t="s">
        <v>21</v>
      </c>
      <c r="G132" s="2" t="s">
        <v>2042</v>
      </c>
      <c r="H132" s="2" t="s">
        <v>22</v>
      </c>
      <c r="I132" s="2"/>
      <c r="J132" s="2" t="s">
        <v>23</v>
      </c>
      <c r="K132" s="2" t="s">
        <v>2043</v>
      </c>
      <c r="L132" s="2"/>
      <c r="M132" s="2" t="s">
        <v>24</v>
      </c>
      <c r="N132" s="2"/>
      <c r="O132" s="2" t="s">
        <v>25</v>
      </c>
      <c r="P132" s="2"/>
      <c r="Q132" s="2" t="s">
        <v>26</v>
      </c>
      <c r="R132" s="2"/>
      <c r="S132" s="2"/>
      <c r="T132" s="2" t="s">
        <v>2038</v>
      </c>
    </row>
    <row r="133" spans="1:20" customFormat="1" ht="30" x14ac:dyDescent="0.25">
      <c r="A133" s="3" t="str">
        <f>INDEX('Orig (V1_BCK)'!$C:$C,MATCH($B133,'Orig (V1_BCK)'!$C:$C,0),1)</f>
        <v>M7677633--J3490141</v>
      </c>
      <c r="B133" s="3" t="str">
        <f>_xlfn.TEXTJOIN("-",FALSE,$C133,$I133,$J133)</f>
        <v>M7677633--J3490141</v>
      </c>
      <c r="C133" s="2" t="s">
        <v>623</v>
      </c>
      <c r="D133" s="2" t="s">
        <v>19</v>
      </c>
      <c r="E133" s="2" t="s">
        <v>586</v>
      </c>
      <c r="F133" s="2" t="s">
        <v>8</v>
      </c>
      <c r="G133" s="2" t="s">
        <v>2157</v>
      </c>
      <c r="H133" s="2" t="s">
        <v>2157</v>
      </c>
      <c r="I133" s="2"/>
      <c r="J133" s="2" t="s">
        <v>594</v>
      </c>
      <c r="K133" s="2" t="s">
        <v>2146</v>
      </c>
      <c r="L133" s="2"/>
      <c r="M133" s="2" t="s">
        <v>438</v>
      </c>
      <c r="N133" s="2"/>
      <c r="O133" s="2" t="s">
        <v>595</v>
      </c>
      <c r="P133" s="2"/>
      <c r="Q133" s="2" t="s">
        <v>596</v>
      </c>
      <c r="R133" s="2"/>
      <c r="S133" s="2"/>
      <c r="T133" s="2" t="s">
        <v>2083</v>
      </c>
    </row>
    <row r="134" spans="1:20" ht="60" x14ac:dyDescent="0.25">
      <c r="A134" s="3" t="e">
        <f>INDEX('Orig (V1_BCK)'!$C:$C,MATCH($B134,'Orig (V1_BCK)'!$C:$C,0),1)</f>
        <v>#N/A</v>
      </c>
      <c r="B134" s="3" t="str">
        <f>_xlfn.TEXTJOIN("-",FALSE,$C134,$I134,$J134)</f>
        <v>M8037337-J5198324-</v>
      </c>
      <c r="C134" s="2" t="s">
        <v>1288</v>
      </c>
      <c r="D134" s="2" t="s">
        <v>1289</v>
      </c>
      <c r="E134" s="2" t="s">
        <v>704</v>
      </c>
      <c r="F134" s="2" t="s">
        <v>700</v>
      </c>
      <c r="G134" s="2" t="s">
        <v>2410</v>
      </c>
      <c r="H134" s="2" t="s">
        <v>2411</v>
      </c>
      <c r="I134" s="2" t="s">
        <v>1290</v>
      </c>
      <c r="J134" s="2"/>
      <c r="K134" s="2" t="s">
        <v>2412</v>
      </c>
      <c r="L134" s="2" t="s">
        <v>438</v>
      </c>
      <c r="M134" s="2"/>
      <c r="N134" s="2" t="s">
        <v>74</v>
      </c>
      <c r="O134" s="2"/>
      <c r="P134" s="2" t="s">
        <v>1291</v>
      </c>
      <c r="Q134" s="2"/>
      <c r="R134" s="2"/>
      <c r="S134" s="2"/>
      <c r="T134" s="2" t="s">
        <v>107</v>
      </c>
    </row>
    <row r="135" spans="1:20" customFormat="1" ht="30" x14ac:dyDescent="0.25">
      <c r="A135" s="3" t="str">
        <f>INDEX('Orig (V1_BCK)'!$C:$C,MATCH($B135,'Orig (V1_BCK)'!$C:$C,0),1)</f>
        <v>M8781732--V2925369</v>
      </c>
      <c r="B135" s="3" t="str">
        <f>_xlfn.TEXTJOIN("-",FALSE,$C135,$I135,$J135)</f>
        <v>M8781732--V2925369</v>
      </c>
      <c r="C135" s="2" t="s">
        <v>761</v>
      </c>
      <c r="D135" s="2" t="s">
        <v>19</v>
      </c>
      <c r="E135" s="2" t="s">
        <v>29</v>
      </c>
      <c r="F135" s="2" t="s">
        <v>762</v>
      </c>
      <c r="G135" s="2" t="s">
        <v>2208</v>
      </c>
      <c r="H135" s="2" t="s">
        <v>2208</v>
      </c>
      <c r="I135" s="2"/>
      <c r="J135" s="2" t="s">
        <v>763</v>
      </c>
      <c r="K135" s="2" t="s">
        <v>2209</v>
      </c>
      <c r="L135" s="2"/>
      <c r="M135" s="2" t="s">
        <v>764</v>
      </c>
      <c r="N135" s="2"/>
      <c r="O135" s="2" t="s">
        <v>765</v>
      </c>
      <c r="P135" s="2"/>
      <c r="Q135" s="2" t="s">
        <v>766</v>
      </c>
      <c r="R135" s="2"/>
      <c r="S135" s="2"/>
      <c r="T135" s="2" t="s">
        <v>2083</v>
      </c>
    </row>
    <row r="136" spans="1:20" customFormat="1" x14ac:dyDescent="0.25">
      <c r="A136" s="3" t="str">
        <f>INDEX('Orig (V1_BCK)'!$C:$C,MATCH($B136,'Orig (V1_BCK)'!$C:$C,0),1)</f>
        <v>M9111698--I7600760</v>
      </c>
      <c r="B136" s="3" t="str">
        <f>_xlfn.TEXTJOIN("-",FALSE,$C136,$I136,$J136)</f>
        <v>M9111698--I7600760</v>
      </c>
      <c r="C136" s="2" t="s">
        <v>880</v>
      </c>
      <c r="D136" s="2" t="s">
        <v>881</v>
      </c>
      <c r="E136" s="2" t="s">
        <v>882</v>
      </c>
      <c r="F136" s="2" t="s">
        <v>883</v>
      </c>
      <c r="G136" s="2" t="s">
        <v>2245</v>
      </c>
      <c r="H136" s="2" t="s">
        <v>2245</v>
      </c>
      <c r="I136" s="2"/>
      <c r="J136" s="2" t="s">
        <v>822</v>
      </c>
      <c r="K136" s="2" t="s">
        <v>2229</v>
      </c>
      <c r="L136" s="2"/>
      <c r="M136" s="2" t="s">
        <v>823</v>
      </c>
      <c r="N136" s="2"/>
      <c r="O136" s="2" t="s">
        <v>824</v>
      </c>
      <c r="P136" s="2"/>
      <c r="Q136" s="2" t="s">
        <v>825</v>
      </c>
      <c r="R136" s="2"/>
      <c r="S136" s="2"/>
      <c r="T136" s="2" t="s">
        <v>2083</v>
      </c>
    </row>
    <row r="137" spans="1:20" ht="30" x14ac:dyDescent="0.25">
      <c r="A137" s="3" t="e">
        <f>INDEX('Orig (V1_BCK)'!$C:$C,MATCH($B137,'Orig (V1_BCK)'!$C:$C,0),1)</f>
        <v>#N/A</v>
      </c>
      <c r="B137" s="3" t="str">
        <f>_xlfn.TEXTJOIN("-",FALSE,$C137,$I137,$J137)</f>
        <v>M9541281--</v>
      </c>
      <c r="C137" s="2" t="s">
        <v>1255</v>
      </c>
      <c r="D137" s="2" t="s">
        <v>1256</v>
      </c>
      <c r="E137" s="2" t="s">
        <v>675</v>
      </c>
      <c r="F137" s="2" t="s">
        <v>74</v>
      </c>
      <c r="G137" s="2" t="s">
        <v>2396</v>
      </c>
      <c r="H137" s="2" t="s">
        <v>1254</v>
      </c>
      <c r="I137" s="2"/>
      <c r="J137" s="2"/>
      <c r="K137" s="2" t="s">
        <v>2377</v>
      </c>
      <c r="L137" s="2"/>
      <c r="M137" s="2"/>
      <c r="N137" s="2"/>
      <c r="O137" s="2"/>
      <c r="P137" s="2"/>
      <c r="Q137" s="2"/>
      <c r="R137" s="2"/>
      <c r="S137" s="2"/>
      <c r="T137" s="2" t="s">
        <v>107</v>
      </c>
    </row>
    <row r="138" spans="1:20" ht="30" x14ac:dyDescent="0.25">
      <c r="A138" s="3" t="e">
        <f>INDEX('Orig (V1_BCK)'!$C:$C,MATCH($B138,'Orig (V1_BCK)'!$C:$C,0),1)</f>
        <v>#N/A</v>
      </c>
      <c r="B138" s="3" t="str">
        <f>_xlfn.TEXTJOIN("-",FALSE,$C138,$I138,$J138)</f>
        <v>M9541281--</v>
      </c>
      <c r="C138" s="2" t="s">
        <v>1255</v>
      </c>
      <c r="D138" s="2" t="s">
        <v>1256</v>
      </c>
      <c r="E138" s="2" t="s">
        <v>675</v>
      </c>
      <c r="F138" s="2" t="s">
        <v>74</v>
      </c>
      <c r="G138" s="2" t="s">
        <v>2398</v>
      </c>
      <c r="H138" s="2" t="s">
        <v>1257</v>
      </c>
      <c r="I138" s="2"/>
      <c r="J138" s="2"/>
      <c r="K138" s="2" t="s">
        <v>2377</v>
      </c>
      <c r="L138" s="2"/>
      <c r="M138" s="2"/>
      <c r="N138" s="2"/>
      <c r="O138" s="2"/>
      <c r="P138" s="2"/>
      <c r="Q138" s="2"/>
      <c r="R138" s="2"/>
      <c r="S138" s="2"/>
      <c r="T138" s="2" t="s">
        <v>107</v>
      </c>
    </row>
    <row r="139" spans="1:20" customFormat="1" ht="30" x14ac:dyDescent="0.25">
      <c r="A139" s="3" t="str">
        <f>INDEX('Orig (V1_BCK)'!$C:$C,MATCH($B139,'Orig (V1_BCK)'!$C:$C,0),1)</f>
        <v>M9785960--I7600760</v>
      </c>
      <c r="B139" s="3" t="str">
        <f>_xlfn.TEXTJOIN("-",FALSE,$C139,$I139,$J139)</f>
        <v>M9785960--I7600760</v>
      </c>
      <c r="C139" s="2" t="s">
        <v>819</v>
      </c>
      <c r="D139" s="2" t="s">
        <v>820</v>
      </c>
      <c r="E139" s="2" t="s">
        <v>74</v>
      </c>
      <c r="F139" s="2" t="s">
        <v>8</v>
      </c>
      <c r="G139" s="2" t="s">
        <v>2228</v>
      </c>
      <c r="H139" s="2" t="s">
        <v>821</v>
      </c>
      <c r="I139" s="2"/>
      <c r="J139" s="2" t="s">
        <v>822</v>
      </c>
      <c r="K139" s="2" t="s">
        <v>2229</v>
      </c>
      <c r="L139" s="2"/>
      <c r="M139" s="2" t="s">
        <v>823</v>
      </c>
      <c r="N139" s="2"/>
      <c r="O139" s="2" t="s">
        <v>824</v>
      </c>
      <c r="P139" s="2"/>
      <c r="Q139" s="2" t="s">
        <v>825</v>
      </c>
      <c r="R139" s="2"/>
      <c r="S139" s="2"/>
      <c r="T139" s="2" t="s">
        <v>2083</v>
      </c>
    </row>
    <row r="140" spans="1:20" customFormat="1" x14ac:dyDescent="0.25">
      <c r="A140" s="3" t="str">
        <f>INDEX('Orig (V1_BCK)'!$C:$C,MATCH($B140,'Orig (V1_BCK)'!$C:$C,0),1)</f>
        <v>M9973867--J5549918</v>
      </c>
      <c r="B140" s="3" t="str">
        <f>_xlfn.TEXTJOIN("-",FALSE,$C140,$I140,$J140)</f>
        <v>M9973867--J5549918</v>
      </c>
      <c r="C140" s="2" t="s">
        <v>799</v>
      </c>
      <c r="D140" s="2" t="s">
        <v>800</v>
      </c>
      <c r="E140" s="2" t="s">
        <v>801</v>
      </c>
      <c r="F140" s="2" t="s">
        <v>700</v>
      </c>
      <c r="G140" s="2" t="s">
        <v>2221</v>
      </c>
      <c r="H140" s="2" t="s">
        <v>802</v>
      </c>
      <c r="I140" s="2"/>
      <c r="J140" s="2" t="s">
        <v>446</v>
      </c>
      <c r="K140" s="2" t="s">
        <v>2082</v>
      </c>
      <c r="L140" s="2"/>
      <c r="M140" s="2" t="s">
        <v>438</v>
      </c>
      <c r="N140" s="2"/>
      <c r="O140" s="2" t="s">
        <v>447</v>
      </c>
      <c r="P140" s="2"/>
      <c r="Q140" s="2" t="s">
        <v>448</v>
      </c>
      <c r="R140" s="2"/>
      <c r="S140" s="2"/>
      <c r="T140" s="2" t="s">
        <v>2083</v>
      </c>
    </row>
    <row r="141" spans="1:20" x14ac:dyDescent="0.25">
      <c r="A141" s="3" t="e">
        <f>INDEX('Orig (V1_BCK)'!$C:$C,MATCH($B141,'Orig (V1_BCK)'!$C:$C,0),1)</f>
        <v>#N/A</v>
      </c>
      <c r="B141" s="3" t="str">
        <f>_xlfn.TEXTJOIN("-",FALSE,$C141,$I141,$J141)</f>
        <v>N2509440-J5768651-</v>
      </c>
      <c r="C141" s="2" t="s">
        <v>1212</v>
      </c>
      <c r="D141" s="2" t="s">
        <v>1213</v>
      </c>
      <c r="E141" s="2" t="s">
        <v>1214</v>
      </c>
      <c r="F141" s="2" t="s">
        <v>1215</v>
      </c>
      <c r="G141" s="2" t="s">
        <v>2383</v>
      </c>
      <c r="H141" s="2" t="s">
        <v>1216</v>
      </c>
      <c r="I141" s="2" t="s">
        <v>660</v>
      </c>
      <c r="J141" s="2"/>
      <c r="K141" s="2" t="s">
        <v>2384</v>
      </c>
      <c r="L141" s="2" t="s">
        <v>661</v>
      </c>
      <c r="M141" s="2"/>
      <c r="N141" s="2" t="s">
        <v>662</v>
      </c>
      <c r="O141" s="2"/>
      <c r="P141" s="2" t="s">
        <v>663</v>
      </c>
      <c r="Q141" s="2"/>
      <c r="R141" s="2"/>
      <c r="S141" s="2"/>
      <c r="T141" s="2" t="s">
        <v>2080</v>
      </c>
    </row>
    <row r="142" spans="1:20" ht="45" x14ac:dyDescent="0.25">
      <c r="A142" s="3" t="e">
        <f>INDEX('Orig (V1_BCK)'!$C:$C,MATCH($B142,'Orig (V1_BCK)'!$C:$C,0),1)</f>
        <v>#N/A</v>
      </c>
      <c r="B142" s="3" t="str">
        <f>_xlfn.TEXTJOIN("-",FALSE,$C142,$I142,$J142)</f>
        <v>N2509440-J5768651-</v>
      </c>
      <c r="C142" s="2" t="s">
        <v>1212</v>
      </c>
      <c r="D142" s="2" t="s">
        <v>1213</v>
      </c>
      <c r="E142" s="2" t="s">
        <v>1214</v>
      </c>
      <c r="F142" s="2" t="s">
        <v>1215</v>
      </c>
      <c r="G142" s="2" t="s">
        <v>2367</v>
      </c>
      <c r="H142" s="2" t="s">
        <v>2391</v>
      </c>
      <c r="I142" s="2" t="s">
        <v>660</v>
      </c>
      <c r="J142" s="2"/>
      <c r="K142" s="2" t="s">
        <v>2384</v>
      </c>
      <c r="L142" s="2" t="s">
        <v>661</v>
      </c>
      <c r="M142" s="2"/>
      <c r="N142" s="2" t="s">
        <v>662</v>
      </c>
      <c r="O142" s="2"/>
      <c r="P142" s="2" t="s">
        <v>663</v>
      </c>
      <c r="Q142" s="2"/>
      <c r="R142" s="2"/>
      <c r="S142" s="2"/>
      <c r="T142" s="2" t="s">
        <v>2080</v>
      </c>
    </row>
    <row r="143" spans="1:20" customFormat="1" ht="30" x14ac:dyDescent="0.25">
      <c r="A143" s="3" t="str">
        <f>INDEX('Orig (V1_BCK)'!$C:$C,MATCH($B143,'Orig (V1_BCK)'!$C:$C,0),1)</f>
        <v>O7468594--J5549918</v>
      </c>
      <c r="B143" s="3" t="str">
        <f>_xlfn.TEXTJOIN("-",FALSE,$C143,$I143,$J143)</f>
        <v>O7468594--J5549918</v>
      </c>
      <c r="C143" s="2" t="s">
        <v>506</v>
      </c>
      <c r="D143" s="2" t="s">
        <v>507</v>
      </c>
      <c r="E143" s="2" t="s">
        <v>508</v>
      </c>
      <c r="F143" s="2" t="s">
        <v>21</v>
      </c>
      <c r="G143" s="2" t="s">
        <v>2109</v>
      </c>
      <c r="H143" s="2" t="s">
        <v>445</v>
      </c>
      <c r="I143" s="2"/>
      <c r="J143" s="2" t="s">
        <v>446</v>
      </c>
      <c r="K143" s="2" t="s">
        <v>2082</v>
      </c>
      <c r="L143" s="2"/>
      <c r="M143" s="2" t="s">
        <v>438</v>
      </c>
      <c r="N143" s="2"/>
      <c r="O143" s="2" t="s">
        <v>447</v>
      </c>
      <c r="P143" s="2"/>
      <c r="Q143" s="2" t="s">
        <v>448</v>
      </c>
      <c r="R143" s="2"/>
      <c r="S143" s="2"/>
      <c r="T143" s="2" t="s">
        <v>2083</v>
      </c>
    </row>
    <row r="144" spans="1:20" customFormat="1" ht="30" x14ac:dyDescent="0.25">
      <c r="A144" s="3" t="str">
        <f>INDEX('Orig (V1_BCK)'!$C:$C,MATCH($B144,'Orig (V1_BCK)'!$C:$C,0),1)</f>
        <v>O9997435-O9997435-</v>
      </c>
      <c r="B144" s="3" t="str">
        <f>_xlfn.TEXTJOIN("-",FALSE,$C144,$I144,$J144)</f>
        <v>O9997435-O9997435-</v>
      </c>
      <c r="C144" s="2" t="s">
        <v>589</v>
      </c>
      <c r="D144" s="2" t="s">
        <v>590</v>
      </c>
      <c r="E144" s="2" t="s">
        <v>591</v>
      </c>
      <c r="F144" s="2" t="s">
        <v>592</v>
      </c>
      <c r="G144" s="2" t="s">
        <v>2144</v>
      </c>
      <c r="H144" s="2" t="s">
        <v>593</v>
      </c>
      <c r="I144" s="2" t="s">
        <v>589</v>
      </c>
      <c r="J144" s="2"/>
      <c r="K144" s="2" t="s">
        <v>2145</v>
      </c>
      <c r="L144" s="2" t="s">
        <v>590</v>
      </c>
      <c r="M144" s="2"/>
      <c r="N144" s="2" t="s">
        <v>591</v>
      </c>
      <c r="O144" s="2"/>
      <c r="P144" s="2" t="s">
        <v>592</v>
      </c>
      <c r="Q144" s="2"/>
      <c r="R144" s="2"/>
      <c r="S144" s="2"/>
      <c r="T144" s="2" t="s">
        <v>2038</v>
      </c>
    </row>
    <row r="145" spans="1:20" ht="45" x14ac:dyDescent="0.25">
      <c r="A145" s="3" t="e">
        <f>INDEX('Orig (V1_BCK)'!$C:$C,MATCH($B145,'Orig (V1_BCK)'!$C:$C,0),1)</f>
        <v>#N/A</v>
      </c>
      <c r="B145" s="3" t="str">
        <f>_xlfn.TEXTJOIN("-",FALSE,$C145,$I145,$J145)</f>
        <v>P0740311-D9233924-</v>
      </c>
      <c r="C145" s="2" t="s">
        <v>1273</v>
      </c>
      <c r="D145" s="2" t="s">
        <v>1186</v>
      </c>
      <c r="E145" s="2" t="s">
        <v>39</v>
      </c>
      <c r="F145" s="2" t="s">
        <v>1274</v>
      </c>
      <c r="G145" s="2" t="s">
        <v>2404</v>
      </c>
      <c r="H145" s="2" t="s">
        <v>1275</v>
      </c>
      <c r="I145" s="2" t="s">
        <v>1276</v>
      </c>
      <c r="J145" s="2"/>
      <c r="K145" s="2" t="s">
        <v>2405</v>
      </c>
      <c r="L145" s="2" t="s">
        <v>725</v>
      </c>
      <c r="M145" s="2"/>
      <c r="N145" s="2" t="s">
        <v>20</v>
      </c>
      <c r="O145" s="2"/>
      <c r="P145" s="2" t="s">
        <v>1145</v>
      </c>
      <c r="Q145" s="2"/>
      <c r="R145" s="2"/>
      <c r="S145" s="2"/>
      <c r="T145" s="2" t="s">
        <v>2083</v>
      </c>
    </row>
    <row r="146" spans="1:20" customFormat="1" x14ac:dyDescent="0.25">
      <c r="A146" s="3" t="str">
        <f>INDEX('Orig (V1_BCK)'!$C:$C,MATCH($B146,'Orig (V1_BCK)'!$C:$C,0),1)</f>
        <v>P4089833-P4089833-</v>
      </c>
      <c r="B146" s="3" t="str">
        <f>_xlfn.TEXTJOIN("-",FALSE,$C146,$I146,$J146)</f>
        <v>P4089833-P4089833-</v>
      </c>
      <c r="C146" s="2" t="s">
        <v>518</v>
      </c>
      <c r="D146" s="2" t="s">
        <v>519</v>
      </c>
      <c r="E146" s="2" t="s">
        <v>520</v>
      </c>
      <c r="F146" s="2" t="s">
        <v>521</v>
      </c>
      <c r="G146" s="2" t="s">
        <v>2113</v>
      </c>
      <c r="H146" s="2" t="s">
        <v>522</v>
      </c>
      <c r="I146" s="2" t="s">
        <v>518</v>
      </c>
      <c r="J146" s="2"/>
      <c r="K146" s="2" t="s">
        <v>2114</v>
      </c>
      <c r="L146" s="2" t="s">
        <v>519</v>
      </c>
      <c r="M146" s="2"/>
      <c r="N146" s="2" t="s">
        <v>520</v>
      </c>
      <c r="O146" s="2"/>
      <c r="P146" s="2" t="s">
        <v>521</v>
      </c>
      <c r="Q146" s="2"/>
      <c r="R146" s="2"/>
      <c r="S146" s="2"/>
      <c r="T146" s="2" t="s">
        <v>2071</v>
      </c>
    </row>
    <row r="147" spans="1:20" ht="30" x14ac:dyDescent="0.25">
      <c r="A147" s="3" t="e">
        <f>INDEX('Orig (V1_BCK)'!$C:$C,MATCH($B147,'Orig (V1_BCK)'!$C:$C,0),1)</f>
        <v>#N/A</v>
      </c>
      <c r="B147" s="3" t="str">
        <f>_xlfn.TEXTJOIN("-",FALSE,$C147,$I147,$J147)</f>
        <v>P5462583-J0041893-</v>
      </c>
      <c r="C147" s="2" t="s">
        <v>1185</v>
      </c>
      <c r="D147" s="2" t="s">
        <v>1186</v>
      </c>
      <c r="E147" s="2" t="s">
        <v>1187</v>
      </c>
      <c r="F147" s="2" t="s">
        <v>1188</v>
      </c>
      <c r="G147" s="2" t="s">
        <v>2373</v>
      </c>
      <c r="H147" s="2" t="s">
        <v>1181</v>
      </c>
      <c r="I147" s="2" t="s">
        <v>1182</v>
      </c>
      <c r="J147" s="2"/>
      <c r="K147" s="2" t="s">
        <v>2374</v>
      </c>
      <c r="L147" s="2" t="s">
        <v>1183</v>
      </c>
      <c r="M147" s="2"/>
      <c r="N147" s="2" t="s">
        <v>1184</v>
      </c>
      <c r="O147" s="2"/>
      <c r="P147" s="2" t="s">
        <v>1145</v>
      </c>
      <c r="Q147" s="2"/>
      <c r="R147" s="2"/>
      <c r="S147" s="2"/>
      <c r="T147" s="2" t="s">
        <v>107</v>
      </c>
    </row>
    <row r="148" spans="1:20" ht="30" x14ac:dyDescent="0.25">
      <c r="A148" s="3" t="e">
        <f>INDEX('Orig (V1_BCK)'!$C:$C,MATCH($B148,'Orig (V1_BCK)'!$C:$C,0),1)</f>
        <v>#N/A</v>
      </c>
      <c r="B148" s="3" t="str">
        <f>_xlfn.TEXTJOIN("-",FALSE,$C148,$I148,$J148)</f>
        <v>P5462583--</v>
      </c>
      <c r="C148" s="2" t="s">
        <v>1185</v>
      </c>
      <c r="D148" s="2" t="s">
        <v>1186</v>
      </c>
      <c r="E148" s="2" t="s">
        <v>1187</v>
      </c>
      <c r="F148" s="2" t="s">
        <v>1188</v>
      </c>
      <c r="G148" s="2" t="s">
        <v>2394</v>
      </c>
      <c r="H148" s="2" t="s">
        <v>1250</v>
      </c>
      <c r="I148" s="2"/>
      <c r="J148" s="2"/>
      <c r="K148" s="2" t="s">
        <v>2393</v>
      </c>
      <c r="L148" s="2"/>
      <c r="M148" s="2"/>
      <c r="N148" s="2"/>
      <c r="O148" s="2"/>
      <c r="P148" s="2"/>
      <c r="Q148" s="2"/>
      <c r="R148" s="2"/>
      <c r="S148" s="2"/>
      <c r="T148" s="2" t="s">
        <v>107</v>
      </c>
    </row>
    <row r="149" spans="1:20" customFormat="1" ht="30" x14ac:dyDescent="0.25">
      <c r="A149" s="3" t="str">
        <f>INDEX('Orig (V1_BCK)'!$C:$C,MATCH($B149,'Orig (V1_BCK)'!$C:$C,0),1)</f>
        <v>P5933312-P5933312-</v>
      </c>
      <c r="B149" s="3" t="str">
        <f>_xlfn.TEXTJOIN("-",FALSE,$C149,$I149,$J149)</f>
        <v>P5933312-P5933312-</v>
      </c>
      <c r="C149" s="2" t="s">
        <v>786</v>
      </c>
      <c r="D149" s="2" t="s">
        <v>787</v>
      </c>
      <c r="E149" s="2" t="s">
        <v>788</v>
      </c>
      <c r="F149" s="2" t="s">
        <v>789</v>
      </c>
      <c r="G149" s="2" t="s">
        <v>2217</v>
      </c>
      <c r="H149" s="2" t="s">
        <v>790</v>
      </c>
      <c r="I149" s="2" t="s">
        <v>786</v>
      </c>
      <c r="J149" s="2"/>
      <c r="K149" s="2" t="s">
        <v>2218</v>
      </c>
      <c r="L149" s="2" t="s">
        <v>787</v>
      </c>
      <c r="M149" s="2"/>
      <c r="N149" s="2" t="s">
        <v>788</v>
      </c>
      <c r="O149" s="2"/>
      <c r="P149" s="2" t="s">
        <v>789</v>
      </c>
      <c r="Q149" s="2"/>
      <c r="R149" s="2"/>
      <c r="S149" s="2"/>
      <c r="T149" s="2" t="s">
        <v>2038</v>
      </c>
    </row>
    <row r="150" spans="1:20" customFormat="1" x14ac:dyDescent="0.25">
      <c r="A150" s="3" t="str">
        <f>INDEX('Orig (V1_BCK)'!$C:$C,MATCH($B150,'Orig (V1_BCK)'!$C:$C,0),1)</f>
        <v>P6179430--Y2236249</v>
      </c>
      <c r="B150" s="3" t="str">
        <f>_xlfn.TEXTJOIN("-",FALSE,$C150,$I150,$J150)</f>
        <v>P6179430--Y2236249</v>
      </c>
      <c r="C150" s="2" t="s">
        <v>886</v>
      </c>
      <c r="D150" s="2" t="s">
        <v>887</v>
      </c>
      <c r="E150" s="2" t="s">
        <v>888</v>
      </c>
      <c r="F150" s="2" t="s">
        <v>889</v>
      </c>
      <c r="G150" s="2" t="s">
        <v>2248</v>
      </c>
      <c r="H150" s="2" t="s">
        <v>890</v>
      </c>
      <c r="I150" s="2"/>
      <c r="J150" s="2" t="s">
        <v>782</v>
      </c>
      <c r="K150" s="2" t="s">
        <v>2216</v>
      </c>
      <c r="L150" s="2"/>
      <c r="M150" s="2" t="s">
        <v>783</v>
      </c>
      <c r="N150" s="2"/>
      <c r="O150" s="2" t="s">
        <v>784</v>
      </c>
      <c r="P150" s="2"/>
      <c r="Q150" s="2" t="s">
        <v>8</v>
      </c>
      <c r="R150" s="2"/>
      <c r="S150" s="2"/>
      <c r="T150" s="2" t="s">
        <v>2083</v>
      </c>
    </row>
    <row r="151" spans="1:20" customFormat="1" x14ac:dyDescent="0.25">
      <c r="A151" s="3" t="str">
        <f>INDEX('Orig (V1_BCK)'!$C:$C,MATCH($B151,'Orig (V1_BCK)'!$C:$C,0),1)</f>
        <v>P6308213-P6308213-</v>
      </c>
      <c r="B151" s="3" t="str">
        <f>_xlfn.TEXTJOIN("-",FALSE,$C151,$I151,$J151)</f>
        <v>P6308213-P6308213-</v>
      </c>
      <c r="C151" s="2" t="s">
        <v>559</v>
      </c>
      <c r="D151" s="2" t="s">
        <v>560</v>
      </c>
      <c r="E151" s="2" t="s">
        <v>561</v>
      </c>
      <c r="F151" s="2" t="s">
        <v>448</v>
      </c>
      <c r="G151" s="2" t="s">
        <v>2131</v>
      </c>
      <c r="H151" s="2" t="s">
        <v>562</v>
      </c>
      <c r="I151" s="2" t="s">
        <v>559</v>
      </c>
      <c r="J151" s="2"/>
      <c r="K151" s="2" t="s">
        <v>2132</v>
      </c>
      <c r="L151" s="2" t="s">
        <v>560</v>
      </c>
      <c r="M151" s="2"/>
      <c r="N151" s="2" t="s">
        <v>561</v>
      </c>
      <c r="O151" s="2"/>
      <c r="P151" s="2" t="s">
        <v>448</v>
      </c>
      <c r="Q151" s="2"/>
      <c r="R151" s="2"/>
      <c r="S151" s="2"/>
      <c r="T151" s="2" t="s">
        <v>47</v>
      </c>
    </row>
    <row r="152" spans="1:20" customFormat="1" x14ac:dyDescent="0.25">
      <c r="A152" s="3" t="str">
        <f>INDEX('Orig (V1_BCK)'!$C:$C,MATCH($B152,'Orig (V1_BCK)'!$C:$C,0),1)</f>
        <v>P6842735--J1842217</v>
      </c>
      <c r="B152" s="3" t="str">
        <f>_xlfn.TEXTJOIN("-",FALSE,$C152,$I152,$J152)</f>
        <v>P6842735--J1842217</v>
      </c>
      <c r="C152" s="2" t="s">
        <v>641</v>
      </c>
      <c r="D152" s="2" t="s">
        <v>58</v>
      </c>
      <c r="E152" s="2" t="s">
        <v>642</v>
      </c>
      <c r="F152" s="2" t="s">
        <v>643</v>
      </c>
      <c r="G152" s="2" t="s">
        <v>2164</v>
      </c>
      <c r="H152" s="2" t="s">
        <v>644</v>
      </c>
      <c r="I152" s="2"/>
      <c r="J152" s="2" t="s">
        <v>457</v>
      </c>
      <c r="K152" s="2" t="s">
        <v>2087</v>
      </c>
      <c r="L152" s="2"/>
      <c r="M152" s="2" t="s">
        <v>458</v>
      </c>
      <c r="N152" s="2"/>
      <c r="O152" s="2" t="s">
        <v>459</v>
      </c>
      <c r="P152" s="2"/>
      <c r="Q152" s="2" t="s">
        <v>460</v>
      </c>
      <c r="R152" s="2"/>
      <c r="S152" s="2"/>
      <c r="T152" s="2" t="s">
        <v>2083</v>
      </c>
    </row>
    <row r="153" spans="1:20" customFormat="1" x14ac:dyDescent="0.25">
      <c r="A153" s="3" t="str">
        <f>INDEX('Orig (V1_BCK)'!$C:$C,MATCH($B153,'Orig (V1_BCK)'!$C:$C,0),1)</f>
        <v>P7416302-P7416302-</v>
      </c>
      <c r="B153" s="3" t="str">
        <f>_xlfn.TEXTJOIN("-",FALSE,$C153,$I153,$J153)</f>
        <v>P7416302-P7416302-</v>
      </c>
      <c r="C153" s="2" t="s">
        <v>57</v>
      </c>
      <c r="D153" s="2" t="s">
        <v>58</v>
      </c>
      <c r="E153" s="2" t="s">
        <v>59</v>
      </c>
      <c r="F153" s="2" t="s">
        <v>60</v>
      </c>
      <c r="G153" s="2" t="s">
        <v>2057</v>
      </c>
      <c r="H153" s="2" t="s">
        <v>61</v>
      </c>
      <c r="I153" s="2" t="s">
        <v>57</v>
      </c>
      <c r="J153" s="2"/>
      <c r="K153" s="2" t="s">
        <v>2058</v>
      </c>
      <c r="L153" s="2" t="s">
        <v>58</v>
      </c>
      <c r="M153" s="2"/>
      <c r="N153" s="2" t="s">
        <v>59</v>
      </c>
      <c r="O153" s="2"/>
      <c r="P153" s="2" t="s">
        <v>60</v>
      </c>
      <c r="Q153" s="2"/>
      <c r="R153" s="2"/>
      <c r="S153" s="2"/>
      <c r="T153" s="2" t="s">
        <v>47</v>
      </c>
    </row>
    <row r="154" spans="1:20" customFormat="1" ht="30" x14ac:dyDescent="0.25">
      <c r="A154" s="3" t="str">
        <f>INDEX('Orig (V1_BCK)'!$C:$C,MATCH($B154,'Orig (V1_BCK)'!$C:$C,0),1)</f>
        <v>R1158863-R1158863-</v>
      </c>
      <c r="B154" s="3" t="str">
        <f>_xlfn.TEXTJOIN("-",FALSE,$C154,$I154,$J154)</f>
        <v>R1158863-R1158863-</v>
      </c>
      <c r="C154" s="2" t="s">
        <v>716</v>
      </c>
      <c r="D154" s="2" t="s">
        <v>717</v>
      </c>
      <c r="E154" s="2" t="s">
        <v>718</v>
      </c>
      <c r="F154" s="2" t="s">
        <v>468</v>
      </c>
      <c r="G154" s="2" t="s">
        <v>2190</v>
      </c>
      <c r="H154" s="2" t="s">
        <v>719</v>
      </c>
      <c r="I154" s="2" t="s">
        <v>716</v>
      </c>
      <c r="J154" s="2"/>
      <c r="K154" s="2" t="s">
        <v>2191</v>
      </c>
      <c r="L154" s="2" t="s">
        <v>717</v>
      </c>
      <c r="M154" s="2"/>
      <c r="N154" s="2" t="s">
        <v>718</v>
      </c>
      <c r="O154" s="2"/>
      <c r="P154" s="2" t="s">
        <v>468</v>
      </c>
      <c r="Q154" s="2"/>
      <c r="R154" s="2"/>
      <c r="S154" s="2"/>
      <c r="T154" s="2" t="s">
        <v>2038</v>
      </c>
    </row>
    <row r="155" spans="1:20" customFormat="1" x14ac:dyDescent="0.25">
      <c r="A155" s="3" t="str">
        <f>INDEX('Orig (V1_BCK)'!$C:$C,MATCH($B155,'Orig (V1_BCK)'!$C:$C,0),1)</f>
        <v>R1630694--J1842217</v>
      </c>
      <c r="B155" s="3" t="str">
        <f>_xlfn.TEXTJOIN("-",FALSE,$C155,$I155,$J155)</f>
        <v>R1630694--J1842217</v>
      </c>
      <c r="C155" s="2" t="s">
        <v>609</v>
      </c>
      <c r="D155" s="2" t="s">
        <v>610</v>
      </c>
      <c r="E155" s="2" t="s">
        <v>611</v>
      </c>
      <c r="F155" s="2" t="s">
        <v>612</v>
      </c>
      <c r="G155" s="2" t="s">
        <v>2153</v>
      </c>
      <c r="H155" s="2" t="s">
        <v>613</v>
      </c>
      <c r="I155" s="2"/>
      <c r="J155" s="2" t="s">
        <v>457</v>
      </c>
      <c r="K155" s="2" t="s">
        <v>2087</v>
      </c>
      <c r="L155" s="2"/>
      <c r="M155" s="2" t="s">
        <v>458</v>
      </c>
      <c r="N155" s="2"/>
      <c r="O155" s="2" t="s">
        <v>459</v>
      </c>
      <c r="P155" s="2"/>
      <c r="Q155" s="2" t="s">
        <v>460</v>
      </c>
      <c r="R155" s="2"/>
      <c r="S155" s="2"/>
      <c r="T155" s="2" t="s">
        <v>2083</v>
      </c>
    </row>
    <row r="156" spans="1:20" customFormat="1" ht="30" x14ac:dyDescent="0.25">
      <c r="A156" s="3" t="str">
        <f>INDEX('Orig (V1_BCK)'!$C:$C,MATCH($B156,'Orig (V1_BCK)'!$C:$C,0),1)</f>
        <v>R1778570--J5549918</v>
      </c>
      <c r="B156" s="3" t="str">
        <f>_xlfn.TEXTJOIN("-",FALSE,$C156,$I156,$J156)</f>
        <v>R1778570--J5549918</v>
      </c>
      <c r="C156" s="2" t="s">
        <v>472</v>
      </c>
      <c r="D156" s="2" t="s">
        <v>95</v>
      </c>
      <c r="E156" s="2" t="s">
        <v>473</v>
      </c>
      <c r="F156" s="2" t="s">
        <v>29</v>
      </c>
      <c r="G156" s="2" t="s">
        <v>2092</v>
      </c>
      <c r="H156" s="2" t="s">
        <v>445</v>
      </c>
      <c r="I156" s="2"/>
      <c r="J156" s="2" t="s">
        <v>446</v>
      </c>
      <c r="K156" s="2" t="s">
        <v>2082</v>
      </c>
      <c r="L156" s="2"/>
      <c r="M156" s="2" t="s">
        <v>438</v>
      </c>
      <c r="N156" s="2"/>
      <c r="O156" s="2" t="s">
        <v>447</v>
      </c>
      <c r="P156" s="2"/>
      <c r="Q156" s="2" t="s">
        <v>448</v>
      </c>
      <c r="R156" s="2"/>
      <c r="S156" s="2"/>
      <c r="T156" s="2" t="s">
        <v>2083</v>
      </c>
    </row>
    <row r="157" spans="1:20" customFormat="1" ht="45" x14ac:dyDescent="0.25">
      <c r="A157" s="3" t="str">
        <f>INDEX('Orig (V1_BCK)'!$C:$C,MATCH($B157,'Orig (V1_BCK)'!$C:$C,0),1)</f>
        <v>R4251279-A0967417-</v>
      </c>
      <c r="B157" s="3" t="str">
        <f>_xlfn.TEXTJOIN("-",FALSE,$C157,$I157,$J157)</f>
        <v>R4251279-A0967417-</v>
      </c>
      <c r="C157" s="2" t="s">
        <v>108</v>
      </c>
      <c r="D157" s="2" t="s">
        <v>109</v>
      </c>
      <c r="E157" s="2" t="s">
        <v>110</v>
      </c>
      <c r="F157" s="2" t="s">
        <v>111</v>
      </c>
      <c r="G157" s="2" t="s">
        <v>2076</v>
      </c>
      <c r="H157" s="2" t="s">
        <v>112</v>
      </c>
      <c r="I157" s="2" t="s">
        <v>404</v>
      </c>
      <c r="J157" s="2"/>
      <c r="K157" s="2" t="s">
        <v>2077</v>
      </c>
      <c r="L157" s="2" t="s">
        <v>363</v>
      </c>
      <c r="M157" s="2"/>
      <c r="N157" s="2" t="s">
        <v>405</v>
      </c>
      <c r="O157" s="2"/>
      <c r="P157" s="2"/>
      <c r="Q157" s="2"/>
      <c r="R157" s="2"/>
      <c r="S157" s="2"/>
      <c r="T157" s="2" t="s">
        <v>2041</v>
      </c>
    </row>
    <row r="158" spans="1:20" customFormat="1" ht="45" x14ac:dyDescent="0.25">
      <c r="A158" s="3" t="str">
        <f>INDEX('Orig (V1_BCK)'!$C:$C,MATCH($B158,'Orig (V1_BCK)'!$C:$C,0),1)</f>
        <v>R4251279-A3574111-</v>
      </c>
      <c r="B158" s="3" t="str">
        <f>_xlfn.TEXTJOIN("-",FALSE,$C158,$I158,$J158)</f>
        <v>R4251279-A3574111-</v>
      </c>
      <c r="C158" s="2" t="s">
        <v>108</v>
      </c>
      <c r="D158" s="2" t="s">
        <v>109</v>
      </c>
      <c r="E158" s="2" t="s">
        <v>110</v>
      </c>
      <c r="F158" s="2" t="s">
        <v>111</v>
      </c>
      <c r="G158" s="2" t="s">
        <v>2076</v>
      </c>
      <c r="H158" s="2" t="s">
        <v>112</v>
      </c>
      <c r="I158" s="2" t="s">
        <v>359</v>
      </c>
      <c r="J158" s="2"/>
      <c r="K158" s="2" t="s">
        <v>2077</v>
      </c>
      <c r="L158" s="2" t="s">
        <v>360</v>
      </c>
      <c r="M158" s="2"/>
      <c r="N158" s="2" t="s">
        <v>361</v>
      </c>
      <c r="O158" s="2"/>
      <c r="P158" s="2"/>
      <c r="Q158" s="2"/>
      <c r="R158" s="2"/>
      <c r="S158" s="2"/>
      <c r="T158" s="2" t="s">
        <v>2041</v>
      </c>
    </row>
    <row r="159" spans="1:20" customFormat="1" ht="45" x14ac:dyDescent="0.25">
      <c r="A159" s="3" t="str">
        <f>INDEX('Orig (V1_BCK)'!$C:$C,MATCH($B159,'Orig (V1_BCK)'!$C:$C,0),1)</f>
        <v>R4251279-A4180653-</v>
      </c>
      <c r="B159" s="3" t="str">
        <f>_xlfn.TEXTJOIN("-",FALSE,$C159,$I159,$J159)</f>
        <v>R4251279-A4180653-</v>
      </c>
      <c r="C159" s="2" t="s">
        <v>108</v>
      </c>
      <c r="D159" s="2" t="s">
        <v>109</v>
      </c>
      <c r="E159" s="2" t="s">
        <v>110</v>
      </c>
      <c r="F159" s="2" t="s">
        <v>111</v>
      </c>
      <c r="G159" s="2" t="s">
        <v>2076</v>
      </c>
      <c r="H159" s="2" t="s">
        <v>112</v>
      </c>
      <c r="I159" s="2" t="s">
        <v>143</v>
      </c>
      <c r="J159" s="2"/>
      <c r="K159" s="2" t="s">
        <v>2077</v>
      </c>
      <c r="L159" s="2" t="s">
        <v>144</v>
      </c>
      <c r="M159" s="2"/>
      <c r="N159" s="2" t="s">
        <v>145</v>
      </c>
      <c r="O159" s="2"/>
      <c r="P159" s="2"/>
      <c r="Q159" s="2"/>
      <c r="R159" s="2"/>
      <c r="S159" s="2"/>
      <c r="T159" s="2" t="s">
        <v>2041</v>
      </c>
    </row>
    <row r="160" spans="1:20" customFormat="1" ht="45" x14ac:dyDescent="0.25">
      <c r="A160" s="3" t="str">
        <f>INDEX('Orig (V1_BCK)'!$C:$C,MATCH($B160,'Orig (V1_BCK)'!$C:$C,0),1)</f>
        <v>R4251279-A4469373-</v>
      </c>
      <c r="B160" s="3" t="str">
        <f>_xlfn.TEXTJOIN("-",FALSE,$C160,$I160,$J160)</f>
        <v>R4251279-A4469373-</v>
      </c>
      <c r="C160" s="2" t="s">
        <v>108</v>
      </c>
      <c r="D160" s="2" t="s">
        <v>109</v>
      </c>
      <c r="E160" s="2" t="s">
        <v>110</v>
      </c>
      <c r="F160" s="2" t="s">
        <v>111</v>
      </c>
      <c r="G160" s="2" t="s">
        <v>2076</v>
      </c>
      <c r="H160" s="2" t="s">
        <v>112</v>
      </c>
      <c r="I160" s="2" t="s">
        <v>266</v>
      </c>
      <c r="J160" s="2"/>
      <c r="K160" s="2" t="s">
        <v>2077</v>
      </c>
      <c r="L160" s="2" t="s">
        <v>255</v>
      </c>
      <c r="M160" s="2"/>
      <c r="N160" s="2" t="s">
        <v>267</v>
      </c>
      <c r="O160" s="2"/>
      <c r="P160" s="2"/>
      <c r="Q160" s="2"/>
      <c r="R160" s="2"/>
      <c r="S160" s="2"/>
      <c r="T160" s="2" t="s">
        <v>2041</v>
      </c>
    </row>
    <row r="161" spans="1:20" customFormat="1" ht="45" x14ac:dyDescent="0.25">
      <c r="A161" s="3" t="str">
        <f>INDEX('Orig (V1_BCK)'!$C:$C,MATCH($B161,'Orig (V1_BCK)'!$C:$C,0),1)</f>
        <v>R4251279-A4847593-</v>
      </c>
      <c r="B161" s="3" t="str">
        <f>_xlfn.TEXTJOIN("-",FALSE,$C161,$I161,$J161)</f>
        <v>R4251279-A4847593-</v>
      </c>
      <c r="C161" s="2" t="s">
        <v>108</v>
      </c>
      <c r="D161" s="2" t="s">
        <v>109</v>
      </c>
      <c r="E161" s="2" t="s">
        <v>110</v>
      </c>
      <c r="F161" s="2" t="s">
        <v>111</v>
      </c>
      <c r="G161" s="2" t="s">
        <v>2076</v>
      </c>
      <c r="H161" s="2" t="s">
        <v>112</v>
      </c>
      <c r="I161" s="2" t="s">
        <v>158</v>
      </c>
      <c r="J161" s="2"/>
      <c r="K161" s="2" t="s">
        <v>2077</v>
      </c>
      <c r="L161" s="2" t="s">
        <v>159</v>
      </c>
      <c r="M161" s="2"/>
      <c r="N161" s="2" t="s">
        <v>160</v>
      </c>
      <c r="O161" s="2"/>
      <c r="P161" s="2"/>
      <c r="Q161" s="2"/>
      <c r="R161" s="2"/>
      <c r="S161" s="2"/>
      <c r="T161" s="2" t="s">
        <v>2041</v>
      </c>
    </row>
    <row r="162" spans="1:20" customFormat="1" ht="45" x14ac:dyDescent="0.25">
      <c r="A162" s="3" t="str">
        <f>INDEX('Orig (V1_BCK)'!$C:$C,MATCH($B162,'Orig (V1_BCK)'!$C:$C,0),1)</f>
        <v>R4251279-A5417301-</v>
      </c>
      <c r="B162" s="3" t="str">
        <f>_xlfn.TEXTJOIN("-",FALSE,$C162,$I162,$J162)</f>
        <v>R4251279-A5417301-</v>
      </c>
      <c r="C162" s="2" t="s">
        <v>108</v>
      </c>
      <c r="D162" s="2" t="s">
        <v>109</v>
      </c>
      <c r="E162" s="2" t="s">
        <v>110</v>
      </c>
      <c r="F162" s="2" t="s">
        <v>111</v>
      </c>
      <c r="G162" s="2" t="s">
        <v>2076</v>
      </c>
      <c r="H162" s="2" t="s">
        <v>112</v>
      </c>
      <c r="I162" s="2" t="s">
        <v>129</v>
      </c>
      <c r="J162" s="2"/>
      <c r="K162" s="2" t="s">
        <v>2077</v>
      </c>
      <c r="L162" s="2" t="s">
        <v>130</v>
      </c>
      <c r="M162" s="2"/>
      <c r="N162" s="2" t="s">
        <v>131</v>
      </c>
      <c r="O162" s="2"/>
      <c r="P162" s="2"/>
      <c r="Q162" s="2"/>
      <c r="R162" s="2"/>
      <c r="S162" s="2"/>
      <c r="T162" s="2" t="s">
        <v>2041</v>
      </c>
    </row>
    <row r="163" spans="1:20" customFormat="1" ht="45" x14ac:dyDescent="0.25">
      <c r="A163" s="3" t="str">
        <f>INDEX('Orig (V1_BCK)'!$C:$C,MATCH($B163,'Orig (V1_BCK)'!$C:$C,0),1)</f>
        <v>R4251279-A5945951-</v>
      </c>
      <c r="B163" s="3" t="str">
        <f>_xlfn.TEXTJOIN("-",FALSE,$C163,$I163,$J163)</f>
        <v>R4251279-A5945951-</v>
      </c>
      <c r="C163" s="2" t="s">
        <v>108</v>
      </c>
      <c r="D163" s="2" t="s">
        <v>109</v>
      </c>
      <c r="E163" s="2" t="s">
        <v>110</v>
      </c>
      <c r="F163" s="2" t="s">
        <v>111</v>
      </c>
      <c r="G163" s="2" t="s">
        <v>2076</v>
      </c>
      <c r="H163" s="2" t="s">
        <v>112</v>
      </c>
      <c r="I163" s="2" t="s">
        <v>155</v>
      </c>
      <c r="J163" s="2"/>
      <c r="K163" s="2" t="s">
        <v>2077</v>
      </c>
      <c r="L163" s="2" t="s">
        <v>156</v>
      </c>
      <c r="M163" s="2"/>
      <c r="N163" s="2" t="s">
        <v>157</v>
      </c>
      <c r="O163" s="2"/>
      <c r="P163" s="2"/>
      <c r="Q163" s="2"/>
      <c r="R163" s="2"/>
      <c r="S163" s="2"/>
      <c r="T163" s="2" t="s">
        <v>2041</v>
      </c>
    </row>
    <row r="164" spans="1:20" customFormat="1" ht="45" x14ac:dyDescent="0.25">
      <c r="A164" s="3" t="str">
        <f>INDEX('Orig (V1_BCK)'!$C:$C,MATCH($B164,'Orig (V1_BCK)'!$C:$C,0),1)</f>
        <v>R4251279-A6181784-</v>
      </c>
      <c r="B164" s="3" t="str">
        <f>_xlfn.TEXTJOIN("-",FALSE,$C164,$I164,$J164)</f>
        <v>R4251279-A6181784-</v>
      </c>
      <c r="C164" s="2" t="s">
        <v>108</v>
      </c>
      <c r="D164" s="2" t="s">
        <v>109</v>
      </c>
      <c r="E164" s="2" t="s">
        <v>110</v>
      </c>
      <c r="F164" s="2" t="s">
        <v>111</v>
      </c>
      <c r="G164" s="2" t="s">
        <v>2076</v>
      </c>
      <c r="H164" s="2" t="s">
        <v>112</v>
      </c>
      <c r="I164" s="2" t="s">
        <v>254</v>
      </c>
      <c r="J164" s="2"/>
      <c r="K164" s="2" t="s">
        <v>2077</v>
      </c>
      <c r="L164" s="2" t="s">
        <v>255</v>
      </c>
      <c r="M164" s="2"/>
      <c r="N164" s="2" t="s">
        <v>256</v>
      </c>
      <c r="O164" s="2"/>
      <c r="P164" s="2"/>
      <c r="Q164" s="2"/>
      <c r="R164" s="2"/>
      <c r="S164" s="2"/>
      <c r="T164" s="2" t="s">
        <v>2041</v>
      </c>
    </row>
    <row r="165" spans="1:20" customFormat="1" ht="45" x14ac:dyDescent="0.25">
      <c r="A165" s="3" t="str">
        <f>INDEX('Orig (V1_BCK)'!$C:$C,MATCH($B165,'Orig (V1_BCK)'!$C:$C,0),1)</f>
        <v>R4251279-A6925972-</v>
      </c>
      <c r="B165" s="3" t="str">
        <f>_xlfn.TEXTJOIN("-",FALSE,$C165,$I165,$J165)</f>
        <v>R4251279-A6925972-</v>
      </c>
      <c r="C165" s="2" t="s">
        <v>108</v>
      </c>
      <c r="D165" s="2" t="s">
        <v>109</v>
      </c>
      <c r="E165" s="2" t="s">
        <v>110</v>
      </c>
      <c r="F165" s="2" t="s">
        <v>111</v>
      </c>
      <c r="G165" s="2" t="s">
        <v>2076</v>
      </c>
      <c r="H165" s="2" t="s">
        <v>112</v>
      </c>
      <c r="I165" s="2" t="s">
        <v>216</v>
      </c>
      <c r="J165" s="2"/>
      <c r="K165" s="2" t="s">
        <v>2077</v>
      </c>
      <c r="L165" s="2" t="s">
        <v>68</v>
      </c>
      <c r="M165" s="2"/>
      <c r="N165" s="2" t="s">
        <v>217</v>
      </c>
      <c r="O165" s="2"/>
      <c r="P165" s="2"/>
      <c r="Q165" s="2"/>
      <c r="R165" s="2"/>
      <c r="S165" s="2"/>
      <c r="T165" s="2" t="s">
        <v>2041</v>
      </c>
    </row>
    <row r="166" spans="1:20" customFormat="1" ht="45" x14ac:dyDescent="0.25">
      <c r="A166" s="3" t="str">
        <f>INDEX('Orig (V1_BCK)'!$C:$C,MATCH($B166,'Orig (V1_BCK)'!$C:$C,0),1)</f>
        <v>R4251279-A6992198-</v>
      </c>
      <c r="B166" s="3" t="str">
        <f>_xlfn.TEXTJOIN("-",FALSE,$C166,$I166,$J166)</f>
        <v>R4251279-A6992198-</v>
      </c>
      <c r="C166" s="2" t="s">
        <v>108</v>
      </c>
      <c r="D166" s="2" t="s">
        <v>109</v>
      </c>
      <c r="E166" s="2" t="s">
        <v>110</v>
      </c>
      <c r="F166" s="2" t="s">
        <v>111</v>
      </c>
      <c r="G166" s="2" t="s">
        <v>2076</v>
      </c>
      <c r="H166" s="2" t="s">
        <v>112</v>
      </c>
      <c r="I166" s="2" t="s">
        <v>198</v>
      </c>
      <c r="J166" s="2"/>
      <c r="K166" s="2" t="s">
        <v>2077</v>
      </c>
      <c r="L166" s="2" t="s">
        <v>199</v>
      </c>
      <c r="M166" s="2"/>
      <c r="N166" s="2" t="s">
        <v>200</v>
      </c>
      <c r="O166" s="2"/>
      <c r="P166" s="2"/>
      <c r="Q166" s="2"/>
      <c r="R166" s="2"/>
      <c r="S166" s="2"/>
      <c r="T166" s="2" t="s">
        <v>2041</v>
      </c>
    </row>
    <row r="167" spans="1:20" customFormat="1" ht="45" x14ac:dyDescent="0.25">
      <c r="A167" s="3" t="str">
        <f>INDEX('Orig (V1_BCK)'!$C:$C,MATCH($B167,'Orig (V1_BCK)'!$C:$C,0),1)</f>
        <v>R4251279-A7580255-</v>
      </c>
      <c r="B167" s="3" t="str">
        <f>_xlfn.TEXTJOIN("-",FALSE,$C167,$I167,$J167)</f>
        <v>R4251279-A7580255-</v>
      </c>
      <c r="C167" s="2" t="s">
        <v>108</v>
      </c>
      <c r="D167" s="2" t="s">
        <v>109</v>
      </c>
      <c r="E167" s="2" t="s">
        <v>110</v>
      </c>
      <c r="F167" s="2" t="s">
        <v>111</v>
      </c>
      <c r="G167" s="2" t="s">
        <v>2076</v>
      </c>
      <c r="H167" s="2" t="s">
        <v>112</v>
      </c>
      <c r="I167" s="2" t="s">
        <v>251</v>
      </c>
      <c r="J167" s="2"/>
      <c r="K167" s="2" t="s">
        <v>2077</v>
      </c>
      <c r="L167" s="2" t="s">
        <v>252</v>
      </c>
      <c r="M167" s="2"/>
      <c r="N167" s="2" t="s">
        <v>253</v>
      </c>
      <c r="O167" s="2"/>
      <c r="P167" s="2"/>
      <c r="Q167" s="2"/>
      <c r="R167" s="2"/>
      <c r="S167" s="2"/>
      <c r="T167" s="2" t="s">
        <v>2041</v>
      </c>
    </row>
    <row r="168" spans="1:20" customFormat="1" ht="45" x14ac:dyDescent="0.25">
      <c r="A168" s="3" t="str">
        <f>INDEX('Orig (V1_BCK)'!$C:$C,MATCH($B168,'Orig (V1_BCK)'!$C:$C,0),1)</f>
        <v>R4251279-A8779087-</v>
      </c>
      <c r="B168" s="3" t="str">
        <f>_xlfn.TEXTJOIN("-",FALSE,$C168,$I168,$J168)</f>
        <v>R4251279-A8779087-</v>
      </c>
      <c r="C168" s="2" t="s">
        <v>108</v>
      </c>
      <c r="D168" s="2" t="s">
        <v>109</v>
      </c>
      <c r="E168" s="2" t="s">
        <v>110</v>
      </c>
      <c r="F168" s="2" t="s">
        <v>111</v>
      </c>
      <c r="G168" s="2" t="s">
        <v>2076</v>
      </c>
      <c r="H168" s="2" t="s">
        <v>112</v>
      </c>
      <c r="I168" s="2" t="s">
        <v>362</v>
      </c>
      <c r="J168" s="2"/>
      <c r="K168" s="2" t="s">
        <v>2077</v>
      </c>
      <c r="L168" s="2" t="s">
        <v>363</v>
      </c>
      <c r="M168" s="2"/>
      <c r="N168" s="2" t="s">
        <v>364</v>
      </c>
      <c r="O168" s="2"/>
      <c r="P168" s="2"/>
      <c r="Q168" s="2"/>
      <c r="R168" s="2"/>
      <c r="S168" s="2"/>
      <c r="T168" s="2" t="s">
        <v>2041</v>
      </c>
    </row>
    <row r="169" spans="1:20" customFormat="1" ht="45" x14ac:dyDescent="0.25">
      <c r="A169" s="3" t="str">
        <f>INDEX('Orig (V1_BCK)'!$C:$C,MATCH($B169,'Orig (V1_BCK)'!$C:$C,0),1)</f>
        <v>R4251279-A8780908-</v>
      </c>
      <c r="B169" s="3" t="str">
        <f>_xlfn.TEXTJOIN("-",FALSE,$C169,$I169,$J169)</f>
        <v>R4251279-A8780908-</v>
      </c>
      <c r="C169" s="2" t="s">
        <v>108</v>
      </c>
      <c r="D169" s="2" t="s">
        <v>109</v>
      </c>
      <c r="E169" s="2" t="s">
        <v>110</v>
      </c>
      <c r="F169" s="2" t="s">
        <v>111</v>
      </c>
      <c r="G169" s="2" t="s">
        <v>2076</v>
      </c>
      <c r="H169" s="2" t="s">
        <v>112</v>
      </c>
      <c r="I169" s="2" t="s">
        <v>297</v>
      </c>
      <c r="J169" s="2"/>
      <c r="K169" s="2" t="s">
        <v>2077</v>
      </c>
      <c r="L169" s="2" t="s">
        <v>298</v>
      </c>
      <c r="M169" s="2"/>
      <c r="N169" s="2" t="s">
        <v>299</v>
      </c>
      <c r="O169" s="2"/>
      <c r="P169" s="2"/>
      <c r="Q169" s="2"/>
      <c r="R169" s="2"/>
      <c r="S169" s="2"/>
      <c r="T169" s="2" t="s">
        <v>2041</v>
      </c>
    </row>
    <row r="170" spans="1:20" customFormat="1" ht="45" x14ac:dyDescent="0.25">
      <c r="A170" s="3" t="str">
        <f>INDEX('Orig (V1_BCK)'!$C:$C,MATCH($B170,'Orig (V1_BCK)'!$C:$C,0),1)</f>
        <v>R4251279-A9125195-</v>
      </c>
      <c r="B170" s="3" t="str">
        <f>_xlfn.TEXTJOIN("-",FALSE,$C170,$I170,$J170)</f>
        <v>R4251279-A9125195-</v>
      </c>
      <c r="C170" s="2" t="s">
        <v>108</v>
      </c>
      <c r="D170" s="2" t="s">
        <v>109</v>
      </c>
      <c r="E170" s="2" t="s">
        <v>110</v>
      </c>
      <c r="F170" s="2" t="s">
        <v>111</v>
      </c>
      <c r="G170" s="2" t="s">
        <v>2076</v>
      </c>
      <c r="H170" s="2" t="s">
        <v>112</v>
      </c>
      <c r="I170" s="2" t="s">
        <v>419</v>
      </c>
      <c r="J170" s="2"/>
      <c r="K170" s="2" t="s">
        <v>2077</v>
      </c>
      <c r="L170" s="2" t="s">
        <v>255</v>
      </c>
      <c r="M170" s="2"/>
      <c r="N170" s="2" t="s">
        <v>420</v>
      </c>
      <c r="O170" s="2"/>
      <c r="P170" s="2"/>
      <c r="Q170" s="2"/>
      <c r="R170" s="2"/>
      <c r="S170" s="2"/>
      <c r="T170" s="2" t="s">
        <v>2041</v>
      </c>
    </row>
    <row r="171" spans="1:20" customFormat="1" ht="45" x14ac:dyDescent="0.25">
      <c r="A171" s="3" t="str">
        <f>INDEX('Orig (V1_BCK)'!$C:$C,MATCH($B171,'Orig (V1_BCK)'!$C:$C,0),1)</f>
        <v>R4251279-A9302822-</v>
      </c>
      <c r="B171" s="3" t="str">
        <f>_xlfn.TEXTJOIN("-",FALSE,$C171,$I171,$J171)</f>
        <v>R4251279-A9302822-</v>
      </c>
      <c r="C171" s="2" t="s">
        <v>108</v>
      </c>
      <c r="D171" s="2" t="s">
        <v>109</v>
      </c>
      <c r="E171" s="2" t="s">
        <v>110</v>
      </c>
      <c r="F171" s="2" t="s">
        <v>111</v>
      </c>
      <c r="G171" s="2" t="s">
        <v>2076</v>
      </c>
      <c r="H171" s="2" t="s">
        <v>112</v>
      </c>
      <c r="I171" s="2" t="s">
        <v>391</v>
      </c>
      <c r="J171" s="2"/>
      <c r="K171" s="2" t="s">
        <v>2077</v>
      </c>
      <c r="L171" s="2" t="s">
        <v>255</v>
      </c>
      <c r="M171" s="2"/>
      <c r="N171" s="2" t="s">
        <v>392</v>
      </c>
      <c r="O171" s="2"/>
      <c r="P171" s="2"/>
      <c r="Q171" s="2"/>
      <c r="R171" s="2"/>
      <c r="S171" s="2"/>
      <c r="T171" s="2" t="s">
        <v>2041</v>
      </c>
    </row>
    <row r="172" spans="1:20" customFormat="1" ht="45" x14ac:dyDescent="0.25">
      <c r="A172" s="3" t="str">
        <f>INDEX('Orig (V1_BCK)'!$C:$C,MATCH($B172,'Orig (V1_BCK)'!$C:$C,0),1)</f>
        <v>R4251279-B3146354-</v>
      </c>
      <c r="B172" s="3" t="str">
        <f>_xlfn.TEXTJOIN("-",FALSE,$C172,$I172,$J172)</f>
        <v>R4251279-B3146354-</v>
      </c>
      <c r="C172" s="2" t="s">
        <v>108</v>
      </c>
      <c r="D172" s="2" t="s">
        <v>109</v>
      </c>
      <c r="E172" s="2" t="s">
        <v>110</v>
      </c>
      <c r="F172" s="2" t="s">
        <v>111</v>
      </c>
      <c r="G172" s="2" t="s">
        <v>2076</v>
      </c>
      <c r="H172" s="2" t="s">
        <v>112</v>
      </c>
      <c r="I172" s="2" t="s">
        <v>345</v>
      </c>
      <c r="J172" s="2"/>
      <c r="K172" s="2" t="s">
        <v>2077</v>
      </c>
      <c r="L172" s="2" t="s">
        <v>346</v>
      </c>
      <c r="M172" s="2"/>
      <c r="N172" s="2" t="s">
        <v>347</v>
      </c>
      <c r="O172" s="2"/>
      <c r="P172" s="2"/>
      <c r="Q172" s="2"/>
      <c r="R172" s="2"/>
      <c r="S172" s="2"/>
      <c r="T172" s="2" t="s">
        <v>2041</v>
      </c>
    </row>
    <row r="173" spans="1:20" customFormat="1" ht="45" x14ac:dyDescent="0.25">
      <c r="A173" s="3" t="str">
        <f>INDEX('Orig (V1_BCK)'!$C:$C,MATCH($B173,'Orig (V1_BCK)'!$C:$C,0),1)</f>
        <v>R4251279-C3174786-</v>
      </c>
      <c r="B173" s="3" t="str">
        <f>_xlfn.TEXTJOIN("-",FALSE,$C173,$I173,$J173)</f>
        <v>R4251279-C3174786-</v>
      </c>
      <c r="C173" s="2" t="s">
        <v>108</v>
      </c>
      <c r="D173" s="2" t="s">
        <v>109</v>
      </c>
      <c r="E173" s="2" t="s">
        <v>110</v>
      </c>
      <c r="F173" s="2" t="s">
        <v>111</v>
      </c>
      <c r="G173" s="2" t="s">
        <v>2076</v>
      </c>
      <c r="H173" s="2" t="s">
        <v>112</v>
      </c>
      <c r="I173" s="2" t="s">
        <v>204</v>
      </c>
      <c r="J173" s="2"/>
      <c r="K173" s="2" t="s">
        <v>2077</v>
      </c>
      <c r="L173" s="2" t="s">
        <v>205</v>
      </c>
      <c r="M173" s="2"/>
      <c r="N173" s="2" t="s">
        <v>206</v>
      </c>
      <c r="O173" s="2"/>
      <c r="P173" s="2"/>
      <c r="Q173" s="2"/>
      <c r="R173" s="2"/>
      <c r="S173" s="2"/>
      <c r="T173" s="2" t="s">
        <v>2041</v>
      </c>
    </row>
    <row r="174" spans="1:20" customFormat="1" ht="45" x14ac:dyDescent="0.25">
      <c r="A174" s="3" t="str">
        <f>INDEX('Orig (V1_BCK)'!$C:$C,MATCH($B174,'Orig (V1_BCK)'!$C:$C,0),1)</f>
        <v>R4251279-C6067195-</v>
      </c>
      <c r="B174" s="3" t="str">
        <f>_xlfn.TEXTJOIN("-",FALSE,$C174,$I174,$J174)</f>
        <v>R4251279-C6067195-</v>
      </c>
      <c r="C174" s="2" t="s">
        <v>108</v>
      </c>
      <c r="D174" s="2" t="s">
        <v>109</v>
      </c>
      <c r="E174" s="2" t="s">
        <v>110</v>
      </c>
      <c r="F174" s="2" t="s">
        <v>111</v>
      </c>
      <c r="G174" s="2" t="s">
        <v>2076</v>
      </c>
      <c r="H174" s="2" t="s">
        <v>112</v>
      </c>
      <c r="I174" s="2" t="s">
        <v>247</v>
      </c>
      <c r="J174" s="2"/>
      <c r="K174" s="2" t="s">
        <v>2077</v>
      </c>
      <c r="L174" s="2" t="s">
        <v>49</v>
      </c>
      <c r="M174" s="2"/>
      <c r="N174" s="2" t="s">
        <v>248</v>
      </c>
      <c r="O174" s="2"/>
      <c r="P174" s="2"/>
      <c r="Q174" s="2"/>
      <c r="R174" s="2"/>
      <c r="S174" s="2"/>
      <c r="T174" s="2" t="s">
        <v>2041</v>
      </c>
    </row>
    <row r="175" spans="1:20" customFormat="1" ht="45" x14ac:dyDescent="0.25">
      <c r="A175" s="3" t="str">
        <f>INDEX('Orig (V1_BCK)'!$C:$C,MATCH($B175,'Orig (V1_BCK)'!$C:$C,0),1)</f>
        <v>R4251279-C7113631-</v>
      </c>
      <c r="B175" s="3" t="str">
        <f>_xlfn.TEXTJOIN("-",FALSE,$C175,$I175,$J175)</f>
        <v>R4251279-C7113631-</v>
      </c>
      <c r="C175" s="2" t="s">
        <v>108</v>
      </c>
      <c r="D175" s="2" t="s">
        <v>109</v>
      </c>
      <c r="E175" s="2" t="s">
        <v>110</v>
      </c>
      <c r="F175" s="2" t="s">
        <v>111</v>
      </c>
      <c r="G175" s="2" t="s">
        <v>2076</v>
      </c>
      <c r="H175" s="2" t="s">
        <v>112</v>
      </c>
      <c r="I175" s="2" t="s">
        <v>268</v>
      </c>
      <c r="J175" s="2"/>
      <c r="K175" s="2" t="s">
        <v>2077</v>
      </c>
      <c r="L175" s="2" t="s">
        <v>269</v>
      </c>
      <c r="M175" s="2"/>
      <c r="N175" s="2" t="s">
        <v>270</v>
      </c>
      <c r="O175" s="2"/>
      <c r="P175" s="2"/>
      <c r="Q175" s="2"/>
      <c r="R175" s="2"/>
      <c r="S175" s="2"/>
      <c r="T175" s="2" t="s">
        <v>2041</v>
      </c>
    </row>
    <row r="176" spans="1:20" customFormat="1" ht="45" x14ac:dyDescent="0.25">
      <c r="A176" s="3" t="str">
        <f>INDEX('Orig (V1_BCK)'!$C:$C,MATCH($B176,'Orig (V1_BCK)'!$C:$C,0),1)</f>
        <v>R4251279-D5733655-</v>
      </c>
      <c r="B176" s="3" t="str">
        <f>_xlfn.TEXTJOIN("-",FALSE,$C176,$I176,$J176)</f>
        <v>R4251279-D5733655-</v>
      </c>
      <c r="C176" s="2" t="s">
        <v>108</v>
      </c>
      <c r="D176" s="2" t="s">
        <v>109</v>
      </c>
      <c r="E176" s="2" t="s">
        <v>110</v>
      </c>
      <c r="F176" s="2" t="s">
        <v>111</v>
      </c>
      <c r="G176" s="2" t="s">
        <v>2076</v>
      </c>
      <c r="H176" s="2" t="s">
        <v>112</v>
      </c>
      <c r="I176" s="2" t="s">
        <v>218</v>
      </c>
      <c r="J176" s="2"/>
      <c r="K176" s="2" t="s">
        <v>2077</v>
      </c>
      <c r="L176" s="2" t="s">
        <v>90</v>
      </c>
      <c r="M176" s="2"/>
      <c r="N176" s="2" t="s">
        <v>219</v>
      </c>
      <c r="O176" s="2"/>
      <c r="P176" s="2"/>
      <c r="Q176" s="2"/>
      <c r="R176" s="2"/>
      <c r="S176" s="2"/>
      <c r="T176" s="2" t="s">
        <v>2041</v>
      </c>
    </row>
    <row r="177" spans="1:20" customFormat="1" ht="45" x14ac:dyDescent="0.25">
      <c r="A177" s="3" t="str">
        <f>INDEX('Orig (V1_BCK)'!$C:$C,MATCH($B177,'Orig (V1_BCK)'!$C:$C,0),1)</f>
        <v>R4251279-D8325341-</v>
      </c>
      <c r="B177" s="3" t="str">
        <f>_xlfn.TEXTJOIN("-",FALSE,$C177,$I177,$J177)</f>
        <v>R4251279-D8325341-</v>
      </c>
      <c r="C177" s="2" t="s">
        <v>108</v>
      </c>
      <c r="D177" s="2" t="s">
        <v>109</v>
      </c>
      <c r="E177" s="2" t="s">
        <v>110</v>
      </c>
      <c r="F177" s="2" t="s">
        <v>111</v>
      </c>
      <c r="G177" s="2" t="s">
        <v>2076</v>
      </c>
      <c r="H177" s="2" t="s">
        <v>112</v>
      </c>
      <c r="I177" s="2" t="s">
        <v>260</v>
      </c>
      <c r="J177" s="2"/>
      <c r="K177" s="2" t="s">
        <v>2077</v>
      </c>
      <c r="L177" s="2" t="s">
        <v>261</v>
      </c>
      <c r="M177" s="2"/>
      <c r="N177" s="2" t="s">
        <v>262</v>
      </c>
      <c r="O177" s="2"/>
      <c r="P177" s="2"/>
      <c r="Q177" s="2"/>
      <c r="R177" s="2"/>
      <c r="S177" s="2"/>
      <c r="T177" s="2" t="s">
        <v>2041</v>
      </c>
    </row>
    <row r="178" spans="1:20" customFormat="1" ht="45" x14ac:dyDescent="0.25">
      <c r="A178" s="3" t="str">
        <f>INDEX('Orig (V1_BCK)'!$C:$C,MATCH($B178,'Orig (V1_BCK)'!$C:$C,0),1)</f>
        <v>R4251279-E2201246-</v>
      </c>
      <c r="B178" s="3" t="str">
        <f>_xlfn.TEXTJOIN("-",FALSE,$C178,$I178,$J178)</f>
        <v>R4251279-E2201246-</v>
      </c>
      <c r="C178" s="2" t="s">
        <v>108</v>
      </c>
      <c r="D178" s="2" t="s">
        <v>109</v>
      </c>
      <c r="E178" s="2" t="s">
        <v>110</v>
      </c>
      <c r="F178" s="2" t="s">
        <v>111</v>
      </c>
      <c r="G178" s="2" t="s">
        <v>2076</v>
      </c>
      <c r="H178" s="2" t="s">
        <v>112</v>
      </c>
      <c r="I178" s="2" t="s">
        <v>315</v>
      </c>
      <c r="J178" s="2"/>
      <c r="K178" s="2" t="s">
        <v>2077</v>
      </c>
      <c r="L178" s="2" t="s">
        <v>286</v>
      </c>
      <c r="M178" s="2"/>
      <c r="N178" s="2" t="s">
        <v>316</v>
      </c>
      <c r="O178" s="2"/>
      <c r="P178" s="2"/>
      <c r="Q178" s="2"/>
      <c r="R178" s="2"/>
      <c r="S178" s="2"/>
      <c r="T178" s="2" t="s">
        <v>2041</v>
      </c>
    </row>
    <row r="179" spans="1:20" customFormat="1" ht="45" x14ac:dyDescent="0.25">
      <c r="A179" s="3" t="str">
        <f>INDEX('Orig (V1_BCK)'!$C:$C,MATCH($B179,'Orig (V1_BCK)'!$C:$C,0),1)</f>
        <v>R4251279-E3048904-</v>
      </c>
      <c r="B179" s="3" t="str">
        <f>_xlfn.TEXTJOIN("-",FALSE,$C179,$I179,$J179)</f>
        <v>R4251279-E3048904-</v>
      </c>
      <c r="C179" s="2" t="s">
        <v>108</v>
      </c>
      <c r="D179" s="2" t="s">
        <v>109</v>
      </c>
      <c r="E179" s="2" t="s">
        <v>110</v>
      </c>
      <c r="F179" s="2" t="s">
        <v>111</v>
      </c>
      <c r="G179" s="2" t="s">
        <v>2076</v>
      </c>
      <c r="H179" s="2" t="s">
        <v>112</v>
      </c>
      <c r="I179" s="2" t="s">
        <v>285</v>
      </c>
      <c r="J179" s="2"/>
      <c r="K179" s="2" t="s">
        <v>2077</v>
      </c>
      <c r="L179" s="2" t="s">
        <v>286</v>
      </c>
      <c r="M179" s="2"/>
      <c r="N179" s="2" t="s">
        <v>287</v>
      </c>
      <c r="O179" s="2"/>
      <c r="P179" s="2"/>
      <c r="Q179" s="2"/>
      <c r="R179" s="2"/>
      <c r="S179" s="2"/>
      <c r="T179" s="2" t="s">
        <v>2041</v>
      </c>
    </row>
    <row r="180" spans="1:20" customFormat="1" ht="45" x14ac:dyDescent="0.25">
      <c r="A180" s="3" t="str">
        <f>INDEX('Orig (V1_BCK)'!$C:$C,MATCH($B180,'Orig (V1_BCK)'!$C:$C,0),1)</f>
        <v>R4251279-E7408625-</v>
      </c>
      <c r="B180" s="3" t="str">
        <f>_xlfn.TEXTJOIN("-",FALSE,$C180,$I180,$J180)</f>
        <v>R4251279-E7408625-</v>
      </c>
      <c r="C180" s="2" t="s">
        <v>108</v>
      </c>
      <c r="D180" s="2" t="s">
        <v>109</v>
      </c>
      <c r="E180" s="2" t="s">
        <v>110</v>
      </c>
      <c r="F180" s="2" t="s">
        <v>111</v>
      </c>
      <c r="G180" s="2" t="s">
        <v>2076</v>
      </c>
      <c r="H180" s="2" t="s">
        <v>112</v>
      </c>
      <c r="I180" s="2" t="s">
        <v>300</v>
      </c>
      <c r="J180" s="2"/>
      <c r="K180" s="2" t="s">
        <v>2077</v>
      </c>
      <c r="L180" s="2" t="s">
        <v>301</v>
      </c>
      <c r="M180" s="2"/>
      <c r="N180" s="2" t="s">
        <v>302</v>
      </c>
      <c r="O180" s="2"/>
      <c r="P180" s="2"/>
      <c r="Q180" s="2"/>
      <c r="R180" s="2"/>
      <c r="S180" s="2"/>
      <c r="T180" s="2" t="s">
        <v>2041</v>
      </c>
    </row>
    <row r="181" spans="1:20" customFormat="1" ht="45" x14ac:dyDescent="0.25">
      <c r="A181" s="3" t="str">
        <f>INDEX('Orig (V1_BCK)'!$C:$C,MATCH($B181,'Orig (V1_BCK)'!$C:$C,0),1)</f>
        <v>R4251279-F0057503-</v>
      </c>
      <c r="B181" s="3" t="str">
        <f>_xlfn.TEXTJOIN("-",FALSE,$C181,$I181,$J181)</f>
        <v>R4251279-F0057503-</v>
      </c>
      <c r="C181" s="2" t="s">
        <v>108</v>
      </c>
      <c r="D181" s="2" t="s">
        <v>109</v>
      </c>
      <c r="E181" s="2" t="s">
        <v>110</v>
      </c>
      <c r="F181" s="2" t="s">
        <v>111</v>
      </c>
      <c r="G181" s="2" t="s">
        <v>2076</v>
      </c>
      <c r="H181" s="2" t="s">
        <v>112</v>
      </c>
      <c r="I181" s="2" t="s">
        <v>412</v>
      </c>
      <c r="J181" s="2"/>
      <c r="K181" s="2" t="s">
        <v>2077</v>
      </c>
      <c r="L181" s="2" t="s">
        <v>410</v>
      </c>
      <c r="M181" s="2"/>
      <c r="N181" s="2" t="s">
        <v>413</v>
      </c>
      <c r="O181" s="2"/>
      <c r="P181" s="2"/>
      <c r="Q181" s="2"/>
      <c r="R181" s="2"/>
      <c r="S181" s="2"/>
      <c r="T181" s="2" t="s">
        <v>2041</v>
      </c>
    </row>
    <row r="182" spans="1:20" customFormat="1" ht="45" x14ac:dyDescent="0.25">
      <c r="A182" s="3" t="str">
        <f>INDEX('Orig (V1_BCK)'!$C:$C,MATCH($B182,'Orig (V1_BCK)'!$C:$C,0),1)</f>
        <v>R4251279-F0780257-</v>
      </c>
      <c r="B182" s="3" t="str">
        <f>_xlfn.TEXTJOIN("-",FALSE,$C182,$I182,$J182)</f>
        <v>R4251279-F0780257-</v>
      </c>
      <c r="C182" s="2" t="s">
        <v>108</v>
      </c>
      <c r="D182" s="2" t="s">
        <v>109</v>
      </c>
      <c r="E182" s="2" t="s">
        <v>110</v>
      </c>
      <c r="F182" s="2" t="s">
        <v>111</v>
      </c>
      <c r="G182" s="2" t="s">
        <v>2076</v>
      </c>
      <c r="H182" s="2" t="s">
        <v>112</v>
      </c>
      <c r="I182" s="2" t="s">
        <v>409</v>
      </c>
      <c r="J182" s="2"/>
      <c r="K182" s="2" t="s">
        <v>2077</v>
      </c>
      <c r="L182" s="2" t="s">
        <v>410</v>
      </c>
      <c r="M182" s="2"/>
      <c r="N182" s="2" t="s">
        <v>411</v>
      </c>
      <c r="O182" s="2"/>
      <c r="P182" s="2"/>
      <c r="Q182" s="2"/>
      <c r="R182" s="2"/>
      <c r="S182" s="2"/>
      <c r="T182" s="2" t="s">
        <v>2041</v>
      </c>
    </row>
    <row r="183" spans="1:20" customFormat="1" ht="45" x14ac:dyDescent="0.25">
      <c r="A183" s="3" t="str">
        <f>INDEX('Orig (V1_BCK)'!$C:$C,MATCH($B183,'Orig (V1_BCK)'!$C:$C,0),1)</f>
        <v>R4251279-F2008630-</v>
      </c>
      <c r="B183" s="3" t="str">
        <f>_xlfn.TEXTJOIN("-",FALSE,$C183,$I183,$J183)</f>
        <v>R4251279-F2008630-</v>
      </c>
      <c r="C183" s="2" t="s">
        <v>108</v>
      </c>
      <c r="D183" s="2" t="s">
        <v>109</v>
      </c>
      <c r="E183" s="2" t="s">
        <v>110</v>
      </c>
      <c r="F183" s="2" t="s">
        <v>111</v>
      </c>
      <c r="G183" s="2" t="s">
        <v>2076</v>
      </c>
      <c r="H183" s="2" t="s">
        <v>112</v>
      </c>
      <c r="I183" s="2" t="s">
        <v>271</v>
      </c>
      <c r="J183" s="2"/>
      <c r="K183" s="2" t="s">
        <v>2077</v>
      </c>
      <c r="L183" s="2" t="s">
        <v>272</v>
      </c>
      <c r="M183" s="2"/>
      <c r="N183" s="2" t="s">
        <v>273</v>
      </c>
      <c r="O183" s="2"/>
      <c r="P183" s="2"/>
      <c r="Q183" s="2"/>
      <c r="R183" s="2"/>
      <c r="S183" s="2"/>
      <c r="T183" s="2" t="s">
        <v>2041</v>
      </c>
    </row>
    <row r="184" spans="1:20" customFormat="1" ht="45" x14ac:dyDescent="0.25">
      <c r="A184" s="3" t="str">
        <f>INDEX('Orig (V1_BCK)'!$C:$C,MATCH($B184,'Orig (V1_BCK)'!$C:$C,0),1)</f>
        <v>R4251279-F2038142-</v>
      </c>
      <c r="B184" s="3" t="str">
        <f>_xlfn.TEXTJOIN("-",FALSE,$C184,$I184,$J184)</f>
        <v>R4251279-F2038142-</v>
      </c>
      <c r="C184" s="2" t="s">
        <v>108</v>
      </c>
      <c r="D184" s="2" t="s">
        <v>109</v>
      </c>
      <c r="E184" s="2" t="s">
        <v>110</v>
      </c>
      <c r="F184" s="2" t="s">
        <v>111</v>
      </c>
      <c r="G184" s="2" t="s">
        <v>2076</v>
      </c>
      <c r="H184" s="2" t="s">
        <v>112</v>
      </c>
      <c r="I184" s="2" t="s">
        <v>382</v>
      </c>
      <c r="J184" s="2"/>
      <c r="K184" s="2" t="s">
        <v>2077</v>
      </c>
      <c r="L184" s="2" t="s">
        <v>383</v>
      </c>
      <c r="M184" s="2"/>
      <c r="N184" s="2" t="s">
        <v>384</v>
      </c>
      <c r="O184" s="2"/>
      <c r="P184" s="2"/>
      <c r="Q184" s="2"/>
      <c r="R184" s="2"/>
      <c r="S184" s="2"/>
      <c r="T184" s="2" t="s">
        <v>2041</v>
      </c>
    </row>
    <row r="185" spans="1:20" customFormat="1" ht="45" x14ac:dyDescent="0.25">
      <c r="A185" s="3" t="str">
        <f>INDEX('Orig (V1_BCK)'!$C:$C,MATCH($B185,'Orig (V1_BCK)'!$C:$C,0),1)</f>
        <v>R4251279-F4526977-</v>
      </c>
      <c r="B185" s="3" t="str">
        <f>_xlfn.TEXTJOIN("-",FALSE,$C185,$I185,$J185)</f>
        <v>R4251279-F4526977-</v>
      </c>
      <c r="C185" s="2" t="s">
        <v>108</v>
      </c>
      <c r="D185" s="2" t="s">
        <v>109</v>
      </c>
      <c r="E185" s="2" t="s">
        <v>110</v>
      </c>
      <c r="F185" s="2" t="s">
        <v>111</v>
      </c>
      <c r="G185" s="2" t="s">
        <v>2076</v>
      </c>
      <c r="H185" s="2" t="s">
        <v>112</v>
      </c>
      <c r="I185" s="2" t="s">
        <v>230</v>
      </c>
      <c r="J185" s="2"/>
      <c r="K185" s="2" t="s">
        <v>2077</v>
      </c>
      <c r="L185" s="2" t="s">
        <v>231</v>
      </c>
      <c r="M185" s="2"/>
      <c r="N185" s="2" t="s">
        <v>232</v>
      </c>
      <c r="O185" s="2"/>
      <c r="P185" s="2"/>
      <c r="Q185" s="2"/>
      <c r="R185" s="2"/>
      <c r="S185" s="2"/>
      <c r="T185" s="2" t="s">
        <v>2041</v>
      </c>
    </row>
    <row r="186" spans="1:20" customFormat="1" ht="45" x14ac:dyDescent="0.25">
      <c r="A186" s="3" t="str">
        <f>INDEX('Orig (V1_BCK)'!$C:$C,MATCH($B186,'Orig (V1_BCK)'!$C:$C,0),1)</f>
        <v>R4251279-F6099543-</v>
      </c>
      <c r="B186" s="3" t="str">
        <f>_xlfn.TEXTJOIN("-",FALSE,$C186,$I186,$J186)</f>
        <v>R4251279-F6099543-</v>
      </c>
      <c r="C186" s="2" t="s">
        <v>108</v>
      </c>
      <c r="D186" s="2" t="s">
        <v>109</v>
      </c>
      <c r="E186" s="2" t="s">
        <v>110</v>
      </c>
      <c r="F186" s="2" t="s">
        <v>111</v>
      </c>
      <c r="G186" s="2" t="s">
        <v>2076</v>
      </c>
      <c r="H186" s="2" t="s">
        <v>112</v>
      </c>
      <c r="I186" s="2" t="s">
        <v>178</v>
      </c>
      <c r="J186" s="2"/>
      <c r="K186" s="2" t="s">
        <v>2077</v>
      </c>
      <c r="L186" s="2" t="s">
        <v>179</v>
      </c>
      <c r="M186" s="2"/>
      <c r="N186" s="2" t="s">
        <v>180</v>
      </c>
      <c r="O186" s="2"/>
      <c r="P186" s="2"/>
      <c r="Q186" s="2"/>
      <c r="R186" s="2"/>
      <c r="S186" s="2"/>
      <c r="T186" s="2" t="s">
        <v>2041</v>
      </c>
    </row>
    <row r="187" spans="1:20" customFormat="1" ht="45" x14ac:dyDescent="0.25">
      <c r="A187" s="3" t="str">
        <f>INDEX('Orig (V1_BCK)'!$C:$C,MATCH($B187,'Orig (V1_BCK)'!$C:$C,0),1)</f>
        <v>R4251279-F6737856-</v>
      </c>
      <c r="B187" s="3" t="str">
        <f>_xlfn.TEXTJOIN("-",FALSE,$C187,$I187,$J187)</f>
        <v>R4251279-F6737856-</v>
      </c>
      <c r="C187" s="2" t="s">
        <v>108</v>
      </c>
      <c r="D187" s="2" t="s">
        <v>109</v>
      </c>
      <c r="E187" s="2" t="s">
        <v>110</v>
      </c>
      <c r="F187" s="2" t="s">
        <v>111</v>
      </c>
      <c r="G187" s="2" t="s">
        <v>2076</v>
      </c>
      <c r="H187" s="2" t="s">
        <v>112</v>
      </c>
      <c r="I187" s="2" t="s">
        <v>249</v>
      </c>
      <c r="J187" s="2"/>
      <c r="K187" s="2" t="s">
        <v>2077</v>
      </c>
      <c r="L187" s="2" t="s">
        <v>231</v>
      </c>
      <c r="M187" s="2"/>
      <c r="N187" s="2" t="s">
        <v>250</v>
      </c>
      <c r="O187" s="2"/>
      <c r="P187" s="2"/>
      <c r="Q187" s="2"/>
      <c r="R187" s="2"/>
      <c r="S187" s="2"/>
      <c r="T187" s="2" t="s">
        <v>2041</v>
      </c>
    </row>
    <row r="188" spans="1:20" customFormat="1" ht="45" x14ac:dyDescent="0.25">
      <c r="A188" s="3" t="str">
        <f>INDEX('Orig (V1_BCK)'!$C:$C,MATCH($B188,'Orig (V1_BCK)'!$C:$C,0),1)</f>
        <v>R4251279-F8428756-</v>
      </c>
      <c r="B188" s="3" t="str">
        <f>_xlfn.TEXTJOIN("-",FALSE,$C188,$I188,$J188)</f>
        <v>R4251279-F8428756-</v>
      </c>
      <c r="C188" s="2" t="s">
        <v>108</v>
      </c>
      <c r="D188" s="2" t="s">
        <v>109</v>
      </c>
      <c r="E188" s="2" t="s">
        <v>110</v>
      </c>
      <c r="F188" s="2" t="s">
        <v>111</v>
      </c>
      <c r="G188" s="2" t="s">
        <v>2076</v>
      </c>
      <c r="H188" s="2" t="s">
        <v>112</v>
      </c>
      <c r="I188" s="2" t="s">
        <v>434</v>
      </c>
      <c r="J188" s="2"/>
      <c r="K188" s="2" t="s">
        <v>2077</v>
      </c>
      <c r="L188" s="2" t="s">
        <v>435</v>
      </c>
      <c r="M188" s="2"/>
      <c r="N188" s="2" t="s">
        <v>436</v>
      </c>
      <c r="O188" s="2"/>
      <c r="P188" s="2"/>
      <c r="Q188" s="2"/>
      <c r="R188" s="2"/>
      <c r="S188" s="2"/>
      <c r="T188" s="2" t="s">
        <v>2041</v>
      </c>
    </row>
    <row r="189" spans="1:20" customFormat="1" ht="45" x14ac:dyDescent="0.25">
      <c r="A189" s="3" t="str">
        <f>INDEX('Orig (V1_BCK)'!$C:$C,MATCH($B189,'Orig (V1_BCK)'!$C:$C,0),1)</f>
        <v>R4251279-F8428756-</v>
      </c>
      <c r="B189" s="3" t="str">
        <f>_xlfn.TEXTJOIN("-",FALSE,$C189,$I189,$J189)</f>
        <v>R4251279-F8428756-</v>
      </c>
      <c r="C189" s="2" t="s">
        <v>108</v>
      </c>
      <c r="D189" s="2" t="s">
        <v>109</v>
      </c>
      <c r="E189" s="2" t="s">
        <v>110</v>
      </c>
      <c r="F189" s="2" t="s">
        <v>111</v>
      </c>
      <c r="G189" s="2" t="s">
        <v>2076</v>
      </c>
      <c r="H189" s="2" t="s">
        <v>112</v>
      </c>
      <c r="I189" s="2" t="s">
        <v>434</v>
      </c>
      <c r="J189" s="2"/>
      <c r="K189" s="2" t="s">
        <v>2077</v>
      </c>
      <c r="L189" s="2" t="s">
        <v>435</v>
      </c>
      <c r="M189" s="2"/>
      <c r="N189" s="2" t="s">
        <v>436</v>
      </c>
      <c r="O189" s="2"/>
      <c r="P189" s="2"/>
      <c r="Q189" s="2"/>
      <c r="R189" s="2"/>
      <c r="S189" s="2"/>
      <c r="T189" s="2" t="s">
        <v>2041</v>
      </c>
    </row>
    <row r="190" spans="1:20" customFormat="1" ht="45" x14ac:dyDescent="0.25">
      <c r="A190" s="3" t="str">
        <f>INDEX('Orig (V1_BCK)'!$C:$C,MATCH($B190,'Orig (V1_BCK)'!$C:$C,0),1)</f>
        <v>R4251279-G0352941-</v>
      </c>
      <c r="B190" s="3" t="str">
        <f>_xlfn.TEXTJOIN("-",FALSE,$C190,$I190,$J190)</f>
        <v>R4251279-G0352941-</v>
      </c>
      <c r="C190" s="2" t="s">
        <v>108</v>
      </c>
      <c r="D190" s="2" t="s">
        <v>109</v>
      </c>
      <c r="E190" s="2" t="s">
        <v>110</v>
      </c>
      <c r="F190" s="2" t="s">
        <v>111</v>
      </c>
      <c r="G190" s="2" t="s">
        <v>2076</v>
      </c>
      <c r="H190" s="2" t="s">
        <v>112</v>
      </c>
      <c r="I190" s="2" t="s">
        <v>368</v>
      </c>
      <c r="J190" s="2"/>
      <c r="K190" s="2" t="s">
        <v>2077</v>
      </c>
      <c r="L190" s="2" t="s">
        <v>369</v>
      </c>
      <c r="M190" s="2"/>
      <c r="N190" s="2" t="s">
        <v>370</v>
      </c>
      <c r="O190" s="2"/>
      <c r="P190" s="2"/>
      <c r="Q190" s="2"/>
      <c r="R190" s="2"/>
      <c r="S190" s="2"/>
      <c r="T190" s="2" t="s">
        <v>2041</v>
      </c>
    </row>
    <row r="191" spans="1:20" customFormat="1" ht="45" x14ac:dyDescent="0.25">
      <c r="A191" s="3" t="str">
        <f>INDEX('Orig (V1_BCK)'!$C:$C,MATCH($B191,'Orig (V1_BCK)'!$C:$C,0),1)</f>
        <v>R4251279-G0406494-</v>
      </c>
      <c r="B191" s="3" t="str">
        <f>_xlfn.TEXTJOIN("-",FALSE,$C191,$I191,$J191)</f>
        <v>R4251279-G0406494-</v>
      </c>
      <c r="C191" s="2" t="s">
        <v>108</v>
      </c>
      <c r="D191" s="2" t="s">
        <v>109</v>
      </c>
      <c r="E191" s="2" t="s">
        <v>110</v>
      </c>
      <c r="F191" s="2" t="s">
        <v>111</v>
      </c>
      <c r="G191" s="2" t="s">
        <v>2076</v>
      </c>
      <c r="H191" s="2" t="s">
        <v>112</v>
      </c>
      <c r="I191" s="2" t="s">
        <v>241</v>
      </c>
      <c r="J191" s="2"/>
      <c r="K191" s="2" t="s">
        <v>2077</v>
      </c>
      <c r="L191" s="2" t="s">
        <v>242</v>
      </c>
      <c r="M191" s="2"/>
      <c r="N191" s="2" t="s">
        <v>243</v>
      </c>
      <c r="O191" s="2"/>
      <c r="P191" s="2"/>
      <c r="Q191" s="2"/>
      <c r="R191" s="2"/>
      <c r="S191" s="2"/>
      <c r="T191" s="2" t="s">
        <v>2041</v>
      </c>
    </row>
    <row r="192" spans="1:20" customFormat="1" ht="45" x14ac:dyDescent="0.25">
      <c r="A192" s="3" t="str">
        <f>INDEX('Orig (V1_BCK)'!$C:$C,MATCH($B192,'Orig (V1_BCK)'!$C:$C,0),1)</f>
        <v>R4251279-H2634732-</v>
      </c>
      <c r="B192" s="3" t="str">
        <f>_xlfn.TEXTJOIN("-",FALSE,$C192,$I192,$J192)</f>
        <v>R4251279-H2634732-</v>
      </c>
      <c r="C192" s="2" t="s">
        <v>108</v>
      </c>
      <c r="D192" s="2" t="s">
        <v>109</v>
      </c>
      <c r="E192" s="2" t="s">
        <v>110</v>
      </c>
      <c r="F192" s="2" t="s">
        <v>111</v>
      </c>
      <c r="G192" s="2" t="s">
        <v>2076</v>
      </c>
      <c r="H192" s="2" t="s">
        <v>112</v>
      </c>
      <c r="I192" s="2" t="s">
        <v>303</v>
      </c>
      <c r="J192" s="2"/>
      <c r="K192" s="2" t="s">
        <v>2077</v>
      </c>
      <c r="L192" s="2" t="s">
        <v>304</v>
      </c>
      <c r="M192" s="2"/>
      <c r="N192" s="2" t="s">
        <v>305</v>
      </c>
      <c r="O192" s="2"/>
      <c r="P192" s="2"/>
      <c r="Q192" s="2"/>
      <c r="R192" s="2"/>
      <c r="S192" s="2"/>
      <c r="T192" s="2" t="s">
        <v>2041</v>
      </c>
    </row>
    <row r="193" spans="1:20" customFormat="1" ht="45" x14ac:dyDescent="0.25">
      <c r="A193" s="3" t="str">
        <f>INDEX('Orig (V1_BCK)'!$C:$C,MATCH($B193,'Orig (V1_BCK)'!$C:$C,0),1)</f>
        <v>R4251279-H2693153-</v>
      </c>
      <c r="B193" s="3" t="str">
        <f>_xlfn.TEXTJOIN("-",FALSE,$C193,$I193,$J193)</f>
        <v>R4251279-H2693153-</v>
      </c>
      <c r="C193" s="2" t="s">
        <v>108</v>
      </c>
      <c r="D193" s="2" t="s">
        <v>109</v>
      </c>
      <c r="E193" s="2" t="s">
        <v>110</v>
      </c>
      <c r="F193" s="2" t="s">
        <v>111</v>
      </c>
      <c r="G193" s="2" t="s">
        <v>2076</v>
      </c>
      <c r="H193" s="2" t="s">
        <v>112</v>
      </c>
      <c r="I193" s="2" t="s">
        <v>115</v>
      </c>
      <c r="J193" s="2"/>
      <c r="K193" s="2" t="s">
        <v>2077</v>
      </c>
      <c r="L193" s="2" t="s">
        <v>116</v>
      </c>
      <c r="M193" s="2"/>
      <c r="N193" s="2" t="s">
        <v>117</v>
      </c>
      <c r="O193" s="2"/>
      <c r="P193" s="2"/>
      <c r="Q193" s="2"/>
      <c r="R193" s="2"/>
      <c r="S193" s="2"/>
      <c r="T193" s="2" t="s">
        <v>2041</v>
      </c>
    </row>
    <row r="194" spans="1:20" customFormat="1" ht="45" x14ac:dyDescent="0.25">
      <c r="A194" s="3" t="str">
        <f>INDEX('Orig (V1_BCK)'!$C:$C,MATCH($B194,'Orig (V1_BCK)'!$C:$C,0),1)</f>
        <v>R4251279-H3027808-</v>
      </c>
      <c r="B194" s="3" t="str">
        <f>_xlfn.TEXTJOIN("-",FALSE,$C194,$I194,$J194)</f>
        <v>R4251279-H3027808-</v>
      </c>
      <c r="C194" s="2" t="s">
        <v>108</v>
      </c>
      <c r="D194" s="2" t="s">
        <v>109</v>
      </c>
      <c r="E194" s="2" t="s">
        <v>110</v>
      </c>
      <c r="F194" s="2" t="s">
        <v>111</v>
      </c>
      <c r="G194" s="2" t="s">
        <v>2076</v>
      </c>
      <c r="H194" s="2" t="s">
        <v>112</v>
      </c>
      <c r="I194" s="2" t="s">
        <v>342</v>
      </c>
      <c r="J194" s="2"/>
      <c r="K194" s="2" t="s">
        <v>2077</v>
      </c>
      <c r="L194" s="2" t="s">
        <v>343</v>
      </c>
      <c r="M194" s="2"/>
      <c r="N194" s="2" t="s">
        <v>344</v>
      </c>
      <c r="O194" s="2"/>
      <c r="P194" s="2"/>
      <c r="Q194" s="2"/>
      <c r="R194" s="2"/>
      <c r="S194" s="2"/>
      <c r="T194" s="2" t="s">
        <v>2041</v>
      </c>
    </row>
    <row r="195" spans="1:20" customFormat="1" ht="45" x14ac:dyDescent="0.25">
      <c r="A195" s="3" t="str">
        <f>INDEX('Orig (V1_BCK)'!$C:$C,MATCH($B195,'Orig (V1_BCK)'!$C:$C,0),1)</f>
        <v>R4251279-H5300207-</v>
      </c>
      <c r="B195" s="3" t="str">
        <f>_xlfn.TEXTJOIN("-",FALSE,$C195,$I195,$J195)</f>
        <v>R4251279-H5300207-</v>
      </c>
      <c r="C195" s="2" t="s">
        <v>108</v>
      </c>
      <c r="D195" s="2" t="s">
        <v>109</v>
      </c>
      <c r="E195" s="2" t="s">
        <v>110</v>
      </c>
      <c r="F195" s="2" t="s">
        <v>111</v>
      </c>
      <c r="G195" s="2" t="s">
        <v>2076</v>
      </c>
      <c r="H195" s="2" t="s">
        <v>112</v>
      </c>
      <c r="I195" s="2" t="s">
        <v>371</v>
      </c>
      <c r="J195" s="2"/>
      <c r="K195" s="2" t="s">
        <v>2077</v>
      </c>
      <c r="L195" s="2" t="s">
        <v>304</v>
      </c>
      <c r="M195" s="2"/>
      <c r="N195" s="2" t="s">
        <v>372</v>
      </c>
      <c r="O195" s="2"/>
      <c r="P195" s="2"/>
      <c r="Q195" s="2"/>
      <c r="R195" s="2"/>
      <c r="S195" s="2"/>
      <c r="T195" s="2" t="s">
        <v>2041</v>
      </c>
    </row>
    <row r="196" spans="1:20" customFormat="1" ht="45" x14ac:dyDescent="0.25">
      <c r="A196" s="3" t="str">
        <f>INDEX('Orig (V1_BCK)'!$C:$C,MATCH($B196,'Orig (V1_BCK)'!$C:$C,0),1)</f>
        <v>R4251279-H5511105-</v>
      </c>
      <c r="B196" s="3" t="str">
        <f>_xlfn.TEXTJOIN("-",FALSE,$C196,$I196,$J196)</f>
        <v>R4251279-H5511105-</v>
      </c>
      <c r="C196" s="2" t="s">
        <v>108</v>
      </c>
      <c r="D196" s="2" t="s">
        <v>109</v>
      </c>
      <c r="E196" s="2" t="s">
        <v>110</v>
      </c>
      <c r="F196" s="2" t="s">
        <v>111</v>
      </c>
      <c r="G196" s="2" t="s">
        <v>2076</v>
      </c>
      <c r="H196" s="2" t="s">
        <v>112</v>
      </c>
      <c r="I196" s="2" t="s">
        <v>416</v>
      </c>
      <c r="J196" s="2"/>
      <c r="K196" s="2" t="s">
        <v>2077</v>
      </c>
      <c r="L196" s="2" t="s">
        <v>417</v>
      </c>
      <c r="M196" s="2"/>
      <c r="N196" s="2" t="s">
        <v>418</v>
      </c>
      <c r="O196" s="2"/>
      <c r="P196" s="2"/>
      <c r="Q196" s="2"/>
      <c r="R196" s="2"/>
      <c r="S196" s="2"/>
      <c r="T196" s="2" t="s">
        <v>2041</v>
      </c>
    </row>
    <row r="197" spans="1:20" customFormat="1" ht="45" x14ac:dyDescent="0.25">
      <c r="A197" s="3" t="str">
        <f>INDEX('Orig (V1_BCK)'!$C:$C,MATCH($B197,'Orig (V1_BCK)'!$C:$C,0),1)</f>
        <v>R4251279-H6445236-</v>
      </c>
      <c r="B197" s="3" t="str">
        <f>_xlfn.TEXTJOIN("-",FALSE,$C197,$I197,$J197)</f>
        <v>R4251279-H6445236-</v>
      </c>
      <c r="C197" s="2" t="s">
        <v>108</v>
      </c>
      <c r="D197" s="2" t="s">
        <v>109</v>
      </c>
      <c r="E197" s="2" t="s">
        <v>110</v>
      </c>
      <c r="F197" s="2" t="s">
        <v>111</v>
      </c>
      <c r="G197" s="2" t="s">
        <v>2076</v>
      </c>
      <c r="H197" s="2" t="s">
        <v>112</v>
      </c>
      <c r="I197" s="2" t="s">
        <v>170</v>
      </c>
      <c r="J197" s="2"/>
      <c r="K197" s="2" t="s">
        <v>2077</v>
      </c>
      <c r="L197" s="2" t="s">
        <v>171</v>
      </c>
      <c r="M197" s="2"/>
      <c r="N197" s="2" t="s">
        <v>16</v>
      </c>
      <c r="O197" s="2"/>
      <c r="P197" s="2"/>
      <c r="Q197" s="2"/>
      <c r="R197" s="2"/>
      <c r="S197" s="2"/>
      <c r="T197" s="2" t="s">
        <v>2041</v>
      </c>
    </row>
    <row r="198" spans="1:20" customFormat="1" ht="45" x14ac:dyDescent="0.25">
      <c r="A198" s="3" t="str">
        <f>INDEX('Orig (V1_BCK)'!$C:$C,MATCH($B198,'Orig (V1_BCK)'!$C:$C,0),1)</f>
        <v>R4251279-H7201344-</v>
      </c>
      <c r="B198" s="3" t="str">
        <f>_xlfn.TEXTJOIN("-",FALSE,$C198,$I198,$J198)</f>
        <v>R4251279-H7201344-</v>
      </c>
      <c r="C198" s="2" t="s">
        <v>108</v>
      </c>
      <c r="D198" s="2" t="s">
        <v>109</v>
      </c>
      <c r="E198" s="2" t="s">
        <v>110</v>
      </c>
      <c r="F198" s="2" t="s">
        <v>111</v>
      </c>
      <c r="G198" s="2" t="s">
        <v>2076</v>
      </c>
      <c r="H198" s="2" t="s">
        <v>112</v>
      </c>
      <c r="I198" s="2" t="s">
        <v>423</v>
      </c>
      <c r="J198" s="2"/>
      <c r="K198" s="2" t="s">
        <v>2077</v>
      </c>
      <c r="L198" s="2" t="s">
        <v>402</v>
      </c>
      <c r="M198" s="2"/>
      <c r="N198" s="2" t="s">
        <v>424</v>
      </c>
      <c r="O198" s="2"/>
      <c r="P198" s="2"/>
      <c r="Q198" s="2"/>
      <c r="R198" s="2"/>
      <c r="S198" s="2"/>
      <c r="T198" s="2" t="s">
        <v>2041</v>
      </c>
    </row>
    <row r="199" spans="1:20" customFormat="1" ht="45" x14ac:dyDescent="0.25">
      <c r="A199" s="3" t="str">
        <f>INDEX('Orig (V1_BCK)'!$C:$C,MATCH($B199,'Orig (V1_BCK)'!$C:$C,0),1)</f>
        <v>R4251279-H8317012-</v>
      </c>
      <c r="B199" s="3" t="str">
        <f>_xlfn.TEXTJOIN("-",FALSE,$C199,$I199,$J199)</f>
        <v>R4251279-H8317012-</v>
      </c>
      <c r="C199" s="2" t="s">
        <v>108</v>
      </c>
      <c r="D199" s="2" t="s">
        <v>109</v>
      </c>
      <c r="E199" s="2" t="s">
        <v>110</v>
      </c>
      <c r="F199" s="2" t="s">
        <v>111</v>
      </c>
      <c r="G199" s="2" t="s">
        <v>2076</v>
      </c>
      <c r="H199" s="2" t="s">
        <v>112</v>
      </c>
      <c r="I199" s="2" t="s">
        <v>401</v>
      </c>
      <c r="J199" s="2"/>
      <c r="K199" s="2" t="s">
        <v>2077</v>
      </c>
      <c r="L199" s="2" t="s">
        <v>402</v>
      </c>
      <c r="M199" s="2"/>
      <c r="N199" s="2" t="s">
        <v>403</v>
      </c>
      <c r="O199" s="2"/>
      <c r="P199" s="2"/>
      <c r="Q199" s="2"/>
      <c r="R199" s="2"/>
      <c r="S199" s="2"/>
      <c r="T199" s="2" t="s">
        <v>2041</v>
      </c>
    </row>
    <row r="200" spans="1:20" customFormat="1" ht="45" x14ac:dyDescent="0.25">
      <c r="A200" s="3" t="str">
        <f>INDEX('Orig (V1_BCK)'!$C:$C,MATCH($B200,'Orig (V1_BCK)'!$C:$C,0),1)</f>
        <v>R4251279-HHHH-</v>
      </c>
      <c r="B200" s="3" t="str">
        <f>_xlfn.TEXTJOIN("-",FALSE,$C200,$I200,$J200)</f>
        <v>R4251279-HHHH-</v>
      </c>
      <c r="C200" s="2" t="s">
        <v>108</v>
      </c>
      <c r="D200" s="2" t="s">
        <v>109</v>
      </c>
      <c r="E200" s="2" t="s">
        <v>110</v>
      </c>
      <c r="F200" s="2" t="s">
        <v>111</v>
      </c>
      <c r="G200" s="2" t="s">
        <v>2076</v>
      </c>
      <c r="H200" s="2" t="s">
        <v>112</v>
      </c>
      <c r="I200" s="2" t="s">
        <v>425</v>
      </c>
      <c r="J200" s="2"/>
      <c r="K200" s="2" t="s">
        <v>2077</v>
      </c>
      <c r="L200" s="2" t="s">
        <v>426</v>
      </c>
      <c r="M200" s="2"/>
      <c r="N200" s="2" t="s">
        <v>427</v>
      </c>
      <c r="O200" s="2"/>
      <c r="P200" s="2"/>
      <c r="Q200" s="2"/>
      <c r="R200" s="2"/>
      <c r="S200" s="2"/>
      <c r="T200" s="2" t="s">
        <v>2041</v>
      </c>
    </row>
    <row r="201" spans="1:20" customFormat="1" ht="45" x14ac:dyDescent="0.25">
      <c r="A201" s="3" t="str">
        <f>INDEX('Orig (V1_BCK)'!$C:$C,MATCH($B201,'Orig (V1_BCK)'!$C:$C,0),1)</f>
        <v>R4251279-I0216489-</v>
      </c>
      <c r="B201" s="3" t="str">
        <f>_xlfn.TEXTJOIN("-",FALSE,$C201,$I201,$J201)</f>
        <v>R4251279-I0216489-</v>
      </c>
      <c r="C201" s="2" t="s">
        <v>108</v>
      </c>
      <c r="D201" s="2" t="s">
        <v>109</v>
      </c>
      <c r="E201" s="2" t="s">
        <v>110</v>
      </c>
      <c r="F201" s="2" t="s">
        <v>111</v>
      </c>
      <c r="G201" s="2" t="s">
        <v>2076</v>
      </c>
      <c r="H201" s="2" t="s">
        <v>112</v>
      </c>
      <c r="I201" s="2" t="s">
        <v>393</v>
      </c>
      <c r="J201" s="2"/>
      <c r="K201" s="2" t="s">
        <v>2077</v>
      </c>
      <c r="L201" s="2" t="s">
        <v>394</v>
      </c>
      <c r="M201" s="2"/>
      <c r="N201" s="2" t="s">
        <v>395</v>
      </c>
      <c r="O201" s="2"/>
      <c r="P201" s="2"/>
      <c r="Q201" s="2"/>
      <c r="R201" s="2"/>
      <c r="S201" s="2"/>
      <c r="T201" s="2" t="s">
        <v>2041</v>
      </c>
    </row>
    <row r="202" spans="1:20" customFormat="1" ht="45" x14ac:dyDescent="0.25">
      <c r="A202" s="3" t="str">
        <f>INDEX('Orig (V1_BCK)'!$C:$C,MATCH($B202,'Orig (V1_BCK)'!$C:$C,0),1)</f>
        <v>R4251279-I2505212-</v>
      </c>
      <c r="B202" s="3" t="str">
        <f>_xlfn.TEXTJOIN("-",FALSE,$C202,$I202,$J202)</f>
        <v>R4251279-I2505212-</v>
      </c>
      <c r="C202" s="2" t="s">
        <v>108</v>
      </c>
      <c r="D202" s="2" t="s">
        <v>109</v>
      </c>
      <c r="E202" s="2" t="s">
        <v>110</v>
      </c>
      <c r="F202" s="2" t="s">
        <v>111</v>
      </c>
      <c r="G202" s="2" t="s">
        <v>2076</v>
      </c>
      <c r="H202" s="2" t="s">
        <v>112</v>
      </c>
      <c r="I202" s="2" t="s">
        <v>326</v>
      </c>
      <c r="J202" s="2"/>
      <c r="K202" s="2" t="s">
        <v>2077</v>
      </c>
      <c r="L202" s="2" t="s">
        <v>327</v>
      </c>
      <c r="M202" s="2"/>
      <c r="N202" s="2" t="s">
        <v>328</v>
      </c>
      <c r="O202" s="2"/>
      <c r="P202" s="2"/>
      <c r="Q202" s="2"/>
      <c r="R202" s="2"/>
      <c r="S202" s="2"/>
      <c r="T202" s="2" t="s">
        <v>2041</v>
      </c>
    </row>
    <row r="203" spans="1:20" customFormat="1" ht="45" x14ac:dyDescent="0.25">
      <c r="A203" s="3" t="str">
        <f>INDEX('Orig (V1_BCK)'!$C:$C,MATCH($B203,'Orig (V1_BCK)'!$C:$C,0),1)</f>
        <v>R4251279-I4793714-</v>
      </c>
      <c r="B203" s="3" t="str">
        <f>_xlfn.TEXTJOIN("-",FALSE,$C203,$I203,$J203)</f>
        <v>R4251279-I4793714-</v>
      </c>
      <c r="C203" s="2" t="s">
        <v>108</v>
      </c>
      <c r="D203" s="2" t="s">
        <v>109</v>
      </c>
      <c r="E203" s="2" t="s">
        <v>110</v>
      </c>
      <c r="F203" s="2" t="s">
        <v>111</v>
      </c>
      <c r="G203" s="2" t="s">
        <v>2076</v>
      </c>
      <c r="H203" s="2" t="s">
        <v>112</v>
      </c>
      <c r="I203" s="2" t="s">
        <v>421</v>
      </c>
      <c r="J203" s="2"/>
      <c r="K203" s="2" t="s">
        <v>2077</v>
      </c>
      <c r="L203" s="2" t="s">
        <v>394</v>
      </c>
      <c r="M203" s="2"/>
      <c r="N203" s="2" t="s">
        <v>422</v>
      </c>
      <c r="O203" s="2"/>
      <c r="P203" s="2"/>
      <c r="Q203" s="2"/>
      <c r="R203" s="2"/>
      <c r="S203" s="2"/>
      <c r="T203" s="2" t="s">
        <v>2041</v>
      </c>
    </row>
    <row r="204" spans="1:20" customFormat="1" ht="45" x14ac:dyDescent="0.25">
      <c r="A204" s="3" t="str">
        <f>INDEX('Orig (V1_BCK)'!$C:$C,MATCH($B204,'Orig (V1_BCK)'!$C:$C,0),1)</f>
        <v>R4251279-I8657204-</v>
      </c>
      <c r="B204" s="3" t="str">
        <f>_xlfn.TEXTJOIN("-",FALSE,$C204,$I204,$J204)</f>
        <v>R4251279-I8657204-</v>
      </c>
      <c r="C204" s="2" t="s">
        <v>108</v>
      </c>
      <c r="D204" s="2" t="s">
        <v>109</v>
      </c>
      <c r="E204" s="2" t="s">
        <v>110</v>
      </c>
      <c r="F204" s="2" t="s">
        <v>111</v>
      </c>
      <c r="G204" s="2" t="s">
        <v>2076</v>
      </c>
      <c r="H204" s="2" t="s">
        <v>112</v>
      </c>
      <c r="I204" s="2" t="s">
        <v>291</v>
      </c>
      <c r="J204" s="2"/>
      <c r="K204" s="2" t="s">
        <v>2077</v>
      </c>
      <c r="L204" s="2" t="s">
        <v>292</v>
      </c>
      <c r="M204" s="2"/>
      <c r="N204" s="2" t="s">
        <v>293</v>
      </c>
      <c r="O204" s="2"/>
      <c r="P204" s="2"/>
      <c r="Q204" s="2"/>
      <c r="R204" s="2"/>
      <c r="S204" s="2"/>
      <c r="T204" s="2" t="s">
        <v>2041</v>
      </c>
    </row>
    <row r="205" spans="1:20" customFormat="1" ht="45" x14ac:dyDescent="0.25">
      <c r="A205" s="3" t="str">
        <f>INDEX('Orig (V1_BCK)'!$C:$C,MATCH($B205,'Orig (V1_BCK)'!$C:$C,0),1)</f>
        <v>R4251279-J0489795-</v>
      </c>
      <c r="B205" s="3" t="str">
        <f>_xlfn.TEXTJOIN("-",FALSE,$C205,$I205,$J205)</f>
        <v>R4251279-J0489795-</v>
      </c>
      <c r="C205" s="2" t="s">
        <v>108</v>
      </c>
      <c r="D205" s="2" t="s">
        <v>109</v>
      </c>
      <c r="E205" s="2" t="s">
        <v>110</v>
      </c>
      <c r="F205" s="2" t="s">
        <v>111</v>
      </c>
      <c r="G205" s="2" t="s">
        <v>2076</v>
      </c>
      <c r="H205" s="2" t="s">
        <v>112</v>
      </c>
      <c r="I205" s="2" t="s">
        <v>233</v>
      </c>
      <c r="J205" s="2"/>
      <c r="K205" s="2" t="s">
        <v>2077</v>
      </c>
      <c r="L205" s="2" t="s">
        <v>234</v>
      </c>
      <c r="M205" s="2"/>
      <c r="N205" s="2" t="s">
        <v>235</v>
      </c>
      <c r="O205" s="2"/>
      <c r="P205" s="2"/>
      <c r="Q205" s="2"/>
      <c r="R205" s="2"/>
      <c r="S205" s="2"/>
      <c r="T205" s="2" t="s">
        <v>2041</v>
      </c>
    </row>
    <row r="206" spans="1:20" customFormat="1" ht="45" x14ac:dyDescent="0.25">
      <c r="A206" s="3" t="str">
        <f>INDEX('Orig (V1_BCK)'!$C:$C,MATCH($B206,'Orig (V1_BCK)'!$C:$C,0),1)</f>
        <v>R4251279-J0804400-</v>
      </c>
      <c r="B206" s="3" t="str">
        <f>_xlfn.TEXTJOIN("-",FALSE,$C206,$I206,$J206)</f>
        <v>R4251279-J0804400-</v>
      </c>
      <c r="C206" s="2" t="s">
        <v>108</v>
      </c>
      <c r="D206" s="2" t="s">
        <v>109</v>
      </c>
      <c r="E206" s="2" t="s">
        <v>110</v>
      </c>
      <c r="F206" s="2" t="s">
        <v>111</v>
      </c>
      <c r="G206" s="2" t="s">
        <v>2076</v>
      </c>
      <c r="H206" s="2" t="s">
        <v>112</v>
      </c>
      <c r="I206" s="2" t="s">
        <v>146</v>
      </c>
      <c r="J206" s="2"/>
      <c r="K206" s="2" t="s">
        <v>2077</v>
      </c>
      <c r="L206" s="2" t="s">
        <v>147</v>
      </c>
      <c r="M206" s="2"/>
      <c r="N206" s="2" t="s">
        <v>148</v>
      </c>
      <c r="O206" s="2"/>
      <c r="P206" s="2"/>
      <c r="Q206" s="2"/>
      <c r="R206" s="2"/>
      <c r="S206" s="2"/>
      <c r="T206" s="2" t="s">
        <v>2041</v>
      </c>
    </row>
    <row r="207" spans="1:20" customFormat="1" ht="45" x14ac:dyDescent="0.25">
      <c r="A207" s="3" t="str">
        <f>INDEX('Orig (V1_BCK)'!$C:$C,MATCH($B207,'Orig (V1_BCK)'!$C:$C,0),1)</f>
        <v>R4251279-J1131990-</v>
      </c>
      <c r="B207" s="3" t="str">
        <f>_xlfn.TEXTJOIN("-",FALSE,$C207,$I207,$J207)</f>
        <v>R4251279-J1131990-</v>
      </c>
      <c r="C207" s="2" t="s">
        <v>108</v>
      </c>
      <c r="D207" s="2" t="s">
        <v>109</v>
      </c>
      <c r="E207" s="2" t="s">
        <v>110</v>
      </c>
      <c r="F207" s="2" t="s">
        <v>111</v>
      </c>
      <c r="G207" s="2" t="s">
        <v>2076</v>
      </c>
      <c r="H207" s="2" t="s">
        <v>112</v>
      </c>
      <c r="I207" s="2" t="s">
        <v>201</v>
      </c>
      <c r="J207" s="2"/>
      <c r="K207" s="2" t="s">
        <v>2077</v>
      </c>
      <c r="L207" s="2" t="s">
        <v>202</v>
      </c>
      <c r="M207" s="2"/>
      <c r="N207" s="2" t="s">
        <v>203</v>
      </c>
      <c r="O207" s="2"/>
      <c r="P207" s="2"/>
      <c r="Q207" s="2"/>
      <c r="R207" s="2"/>
      <c r="S207" s="2"/>
      <c r="T207" s="2" t="s">
        <v>2041</v>
      </c>
    </row>
    <row r="208" spans="1:20" customFormat="1" ht="45" x14ac:dyDescent="0.25">
      <c r="A208" s="3" t="str">
        <f>INDEX('Orig (V1_BCK)'!$C:$C,MATCH($B208,'Orig (V1_BCK)'!$C:$C,0),1)</f>
        <v>R4251279-J1573527-</v>
      </c>
      <c r="B208" s="3" t="str">
        <f>_xlfn.TEXTJOIN("-",FALSE,$C208,$I208,$J208)</f>
        <v>R4251279-J1573527-</v>
      </c>
      <c r="C208" s="2" t="s">
        <v>108</v>
      </c>
      <c r="D208" s="2" t="s">
        <v>109</v>
      </c>
      <c r="E208" s="2" t="s">
        <v>110</v>
      </c>
      <c r="F208" s="2" t="s">
        <v>111</v>
      </c>
      <c r="G208" s="2" t="s">
        <v>2076</v>
      </c>
      <c r="H208" s="2" t="s">
        <v>112</v>
      </c>
      <c r="I208" s="2" t="s">
        <v>167</v>
      </c>
      <c r="J208" s="2"/>
      <c r="K208" s="2" t="s">
        <v>2077</v>
      </c>
      <c r="L208" s="2" t="s">
        <v>168</v>
      </c>
      <c r="M208" s="2"/>
      <c r="N208" s="2" t="s">
        <v>169</v>
      </c>
      <c r="O208" s="2"/>
      <c r="P208" s="2"/>
      <c r="Q208" s="2"/>
      <c r="R208" s="2"/>
      <c r="S208" s="2"/>
      <c r="T208" s="2" t="s">
        <v>2041</v>
      </c>
    </row>
    <row r="209" spans="1:20" customFormat="1" ht="45" x14ac:dyDescent="0.25">
      <c r="A209" s="3" t="str">
        <f>INDEX('Orig (V1_BCK)'!$C:$C,MATCH($B209,'Orig (V1_BCK)'!$C:$C,0),1)</f>
        <v>R4251279-J1640357-</v>
      </c>
      <c r="B209" s="3" t="str">
        <f>_xlfn.TEXTJOIN("-",FALSE,$C209,$I209,$J209)</f>
        <v>R4251279-J1640357-</v>
      </c>
      <c r="C209" s="2" t="s">
        <v>108</v>
      </c>
      <c r="D209" s="2" t="s">
        <v>109</v>
      </c>
      <c r="E209" s="2" t="s">
        <v>110</v>
      </c>
      <c r="F209" s="2" t="s">
        <v>111</v>
      </c>
      <c r="G209" s="2" t="s">
        <v>2076</v>
      </c>
      <c r="H209" s="2" t="s">
        <v>112</v>
      </c>
      <c r="I209" s="2" t="s">
        <v>207</v>
      </c>
      <c r="J209" s="2"/>
      <c r="K209" s="2" t="s">
        <v>2077</v>
      </c>
      <c r="L209" s="2" t="s">
        <v>208</v>
      </c>
      <c r="M209" s="2"/>
      <c r="N209" s="2" t="s">
        <v>163</v>
      </c>
      <c r="O209" s="2"/>
      <c r="P209" s="2"/>
      <c r="Q209" s="2"/>
      <c r="R209" s="2"/>
      <c r="S209" s="2"/>
      <c r="T209" s="2" t="s">
        <v>2041</v>
      </c>
    </row>
    <row r="210" spans="1:20" customFormat="1" ht="45" x14ac:dyDescent="0.25">
      <c r="A210" s="3" t="str">
        <f>INDEX('Orig (V1_BCK)'!$C:$C,MATCH($B210,'Orig (V1_BCK)'!$C:$C,0),1)</f>
        <v>R4251279-J5018536-</v>
      </c>
      <c r="B210" s="3" t="str">
        <f>_xlfn.TEXTJOIN("-",FALSE,$C210,$I210,$J210)</f>
        <v>R4251279-J5018536-</v>
      </c>
      <c r="C210" s="2" t="s">
        <v>108</v>
      </c>
      <c r="D210" s="2" t="s">
        <v>109</v>
      </c>
      <c r="E210" s="2" t="s">
        <v>110</v>
      </c>
      <c r="F210" s="2" t="s">
        <v>111</v>
      </c>
      <c r="G210" s="2" t="s">
        <v>2076</v>
      </c>
      <c r="H210" s="2" t="s">
        <v>112</v>
      </c>
      <c r="I210" s="2" t="s">
        <v>123</v>
      </c>
      <c r="J210" s="2"/>
      <c r="K210" s="2" t="s">
        <v>2077</v>
      </c>
      <c r="L210" s="2" t="s">
        <v>124</v>
      </c>
      <c r="M210" s="2"/>
      <c r="N210" s="2" t="s">
        <v>125</v>
      </c>
      <c r="O210" s="2"/>
      <c r="P210" s="2"/>
      <c r="Q210" s="2"/>
      <c r="R210" s="2"/>
      <c r="S210" s="2"/>
      <c r="T210" s="2" t="s">
        <v>2041</v>
      </c>
    </row>
    <row r="211" spans="1:20" customFormat="1" ht="45" x14ac:dyDescent="0.25">
      <c r="A211" s="3" t="str">
        <f>INDEX('Orig (V1_BCK)'!$C:$C,MATCH($B211,'Orig (V1_BCK)'!$C:$C,0),1)</f>
        <v>R4251279-J5430379-</v>
      </c>
      <c r="B211" s="3" t="str">
        <f>_xlfn.TEXTJOIN("-",FALSE,$C211,$I211,$J211)</f>
        <v>R4251279-J5430379-</v>
      </c>
      <c r="C211" s="2" t="s">
        <v>108</v>
      </c>
      <c r="D211" s="2" t="s">
        <v>109</v>
      </c>
      <c r="E211" s="2" t="s">
        <v>110</v>
      </c>
      <c r="F211" s="2" t="s">
        <v>111</v>
      </c>
      <c r="G211" s="2" t="s">
        <v>2076</v>
      </c>
      <c r="H211" s="2" t="s">
        <v>112</v>
      </c>
      <c r="I211" s="2" t="s">
        <v>257</v>
      </c>
      <c r="J211" s="2"/>
      <c r="K211" s="2" t="s">
        <v>2077</v>
      </c>
      <c r="L211" s="2" t="s">
        <v>258</v>
      </c>
      <c r="M211" s="2"/>
      <c r="N211" s="2" t="s">
        <v>259</v>
      </c>
      <c r="O211" s="2"/>
      <c r="P211" s="2"/>
      <c r="Q211" s="2"/>
      <c r="R211" s="2"/>
      <c r="S211" s="2"/>
      <c r="T211" s="2" t="s">
        <v>2041</v>
      </c>
    </row>
    <row r="212" spans="1:20" customFormat="1" ht="45" x14ac:dyDescent="0.25">
      <c r="A212" s="3" t="str">
        <f>INDEX('Orig (V1_BCK)'!$C:$C,MATCH($B212,'Orig (V1_BCK)'!$C:$C,0),1)</f>
        <v>R4251279-J5822076-</v>
      </c>
      <c r="B212" s="3" t="str">
        <f>_xlfn.TEXTJOIN("-",FALSE,$C212,$I212,$J212)</f>
        <v>R4251279-J5822076-</v>
      </c>
      <c r="C212" s="2" t="s">
        <v>108</v>
      </c>
      <c r="D212" s="2" t="s">
        <v>109</v>
      </c>
      <c r="E212" s="2" t="s">
        <v>110</v>
      </c>
      <c r="F212" s="2" t="s">
        <v>111</v>
      </c>
      <c r="G212" s="2" t="s">
        <v>2076</v>
      </c>
      <c r="H212" s="2" t="s">
        <v>112</v>
      </c>
      <c r="I212" s="2" t="s">
        <v>181</v>
      </c>
      <c r="J212" s="2"/>
      <c r="K212" s="2" t="s">
        <v>2077</v>
      </c>
      <c r="L212" s="2" t="s">
        <v>182</v>
      </c>
      <c r="M212" s="2"/>
      <c r="N212" s="2" t="s">
        <v>183</v>
      </c>
      <c r="O212" s="2"/>
      <c r="P212" s="2"/>
      <c r="Q212" s="2"/>
      <c r="R212" s="2"/>
      <c r="S212" s="2"/>
      <c r="T212" s="2" t="s">
        <v>2041</v>
      </c>
    </row>
    <row r="213" spans="1:20" customFormat="1" ht="45" x14ac:dyDescent="0.25">
      <c r="A213" s="3" t="str">
        <f>INDEX('Orig (V1_BCK)'!$C:$C,MATCH($B213,'Orig (V1_BCK)'!$C:$C,0),1)</f>
        <v>R4251279-J9085499-</v>
      </c>
      <c r="B213" s="3" t="str">
        <f>_xlfn.TEXTJOIN("-",FALSE,$C213,$I213,$J213)</f>
        <v>R4251279-J9085499-</v>
      </c>
      <c r="C213" s="2" t="s">
        <v>108</v>
      </c>
      <c r="D213" s="2" t="s">
        <v>109</v>
      </c>
      <c r="E213" s="2" t="s">
        <v>110</v>
      </c>
      <c r="F213" s="2" t="s">
        <v>111</v>
      </c>
      <c r="G213" s="2" t="s">
        <v>2076</v>
      </c>
      <c r="H213" s="2" t="s">
        <v>112</v>
      </c>
      <c r="I213" s="2" t="s">
        <v>126</v>
      </c>
      <c r="J213" s="2"/>
      <c r="K213" s="2" t="s">
        <v>2077</v>
      </c>
      <c r="L213" s="2" t="s">
        <v>127</v>
      </c>
      <c r="M213" s="2"/>
      <c r="N213" s="2" t="s">
        <v>128</v>
      </c>
      <c r="O213" s="2"/>
      <c r="P213" s="2"/>
      <c r="Q213" s="2"/>
      <c r="R213" s="2"/>
      <c r="S213" s="2"/>
      <c r="T213" s="2" t="s">
        <v>2041</v>
      </c>
    </row>
    <row r="214" spans="1:20" customFormat="1" ht="45" x14ac:dyDescent="0.25">
      <c r="A214" s="3" t="str">
        <f>INDEX('Orig (V1_BCK)'!$C:$C,MATCH($B214,'Orig (V1_BCK)'!$C:$C,0),1)</f>
        <v>R4251279-J9108150-</v>
      </c>
      <c r="B214" s="3" t="str">
        <f>_xlfn.TEXTJOIN("-",FALSE,$C214,$I214,$J214)</f>
        <v>R4251279-J9108150-</v>
      </c>
      <c r="C214" s="2" t="s">
        <v>108</v>
      </c>
      <c r="D214" s="2" t="s">
        <v>109</v>
      </c>
      <c r="E214" s="2" t="s">
        <v>110</v>
      </c>
      <c r="F214" s="2" t="s">
        <v>111</v>
      </c>
      <c r="G214" s="2" t="s">
        <v>2076</v>
      </c>
      <c r="H214" s="2" t="s">
        <v>112</v>
      </c>
      <c r="I214" s="2" t="s">
        <v>172</v>
      </c>
      <c r="J214" s="2"/>
      <c r="K214" s="2" t="s">
        <v>2077</v>
      </c>
      <c r="L214" s="2" t="s">
        <v>173</v>
      </c>
      <c r="M214" s="2"/>
      <c r="N214" s="2" t="s">
        <v>174</v>
      </c>
      <c r="O214" s="2"/>
      <c r="P214" s="2"/>
      <c r="Q214" s="2"/>
      <c r="R214" s="2"/>
      <c r="S214" s="2"/>
      <c r="T214" s="2" t="s">
        <v>2041</v>
      </c>
    </row>
    <row r="215" spans="1:20" customFormat="1" ht="45" x14ac:dyDescent="0.25">
      <c r="A215" s="3" t="str">
        <f>INDEX('Orig (V1_BCK)'!$C:$C,MATCH($B215,'Orig (V1_BCK)'!$C:$C,0),1)</f>
        <v>R4251279-J9539848-</v>
      </c>
      <c r="B215" s="3" t="str">
        <f>_xlfn.TEXTJOIN("-",FALSE,$C215,$I215,$J215)</f>
        <v>R4251279-J9539848-</v>
      </c>
      <c r="C215" s="2" t="s">
        <v>108</v>
      </c>
      <c r="D215" s="2" t="s">
        <v>109</v>
      </c>
      <c r="E215" s="2" t="s">
        <v>110</v>
      </c>
      <c r="F215" s="2" t="s">
        <v>111</v>
      </c>
      <c r="G215" s="2" t="s">
        <v>2076</v>
      </c>
      <c r="H215" s="2" t="s">
        <v>112</v>
      </c>
      <c r="I215" s="2" t="s">
        <v>132</v>
      </c>
      <c r="J215" s="2"/>
      <c r="K215" s="2" t="s">
        <v>2077</v>
      </c>
      <c r="L215" s="2" t="s">
        <v>127</v>
      </c>
      <c r="M215" s="2"/>
      <c r="N215" s="2" t="s">
        <v>133</v>
      </c>
      <c r="O215" s="2"/>
      <c r="P215" s="2"/>
      <c r="Q215" s="2"/>
      <c r="R215" s="2"/>
      <c r="S215" s="2"/>
      <c r="T215" s="2" t="s">
        <v>2041</v>
      </c>
    </row>
    <row r="216" spans="1:20" customFormat="1" ht="45" x14ac:dyDescent="0.25">
      <c r="A216" s="3" t="str">
        <f>INDEX('Orig (V1_BCK)'!$C:$C,MATCH($B216,'Orig (V1_BCK)'!$C:$C,0),1)</f>
        <v>R4251279-K0341276-</v>
      </c>
      <c r="B216" s="3" t="str">
        <f>_xlfn.TEXTJOIN("-",FALSE,$C216,$I216,$J216)</f>
        <v>R4251279-K0341276-</v>
      </c>
      <c r="C216" s="2" t="s">
        <v>108</v>
      </c>
      <c r="D216" s="2" t="s">
        <v>109</v>
      </c>
      <c r="E216" s="2" t="s">
        <v>110</v>
      </c>
      <c r="F216" s="2" t="s">
        <v>111</v>
      </c>
      <c r="G216" s="2" t="s">
        <v>2076</v>
      </c>
      <c r="H216" s="2" t="s">
        <v>112</v>
      </c>
      <c r="I216" s="2" t="s">
        <v>274</v>
      </c>
      <c r="J216" s="2"/>
      <c r="K216" s="2" t="s">
        <v>2077</v>
      </c>
      <c r="L216" s="2" t="s">
        <v>275</v>
      </c>
      <c r="M216" s="2"/>
      <c r="N216" s="2" t="s">
        <v>276</v>
      </c>
      <c r="O216" s="2"/>
      <c r="P216" s="2"/>
      <c r="Q216" s="2"/>
      <c r="R216" s="2"/>
      <c r="S216" s="2"/>
      <c r="T216" s="2" t="s">
        <v>2041</v>
      </c>
    </row>
    <row r="217" spans="1:20" customFormat="1" ht="45" x14ac:dyDescent="0.25">
      <c r="A217" s="3" t="str">
        <f>INDEX('Orig (V1_BCK)'!$C:$C,MATCH($B217,'Orig (V1_BCK)'!$C:$C,0),1)</f>
        <v>R4251279-K4248020-</v>
      </c>
      <c r="B217" s="3" t="str">
        <f>_xlfn.TEXTJOIN("-",FALSE,$C217,$I217,$J217)</f>
        <v>R4251279-K4248020-</v>
      </c>
      <c r="C217" s="2" t="s">
        <v>108</v>
      </c>
      <c r="D217" s="2" t="s">
        <v>109</v>
      </c>
      <c r="E217" s="2" t="s">
        <v>110</v>
      </c>
      <c r="F217" s="2" t="s">
        <v>111</v>
      </c>
      <c r="G217" s="2" t="s">
        <v>2076</v>
      </c>
      <c r="H217" s="2" t="s">
        <v>112</v>
      </c>
      <c r="I217" s="2" t="s">
        <v>320</v>
      </c>
      <c r="J217" s="2"/>
      <c r="K217" s="2" t="s">
        <v>2077</v>
      </c>
      <c r="L217" s="2" t="s">
        <v>321</v>
      </c>
      <c r="M217" s="2"/>
      <c r="N217" s="2" t="s">
        <v>322</v>
      </c>
      <c r="O217" s="2"/>
      <c r="P217" s="2"/>
      <c r="Q217" s="2"/>
      <c r="R217" s="2"/>
      <c r="S217" s="2"/>
      <c r="T217" s="2" t="s">
        <v>2041</v>
      </c>
    </row>
    <row r="218" spans="1:20" customFormat="1" ht="45" x14ac:dyDescent="0.25">
      <c r="A218" s="3" t="str">
        <f>INDEX('Orig (V1_BCK)'!$C:$C,MATCH($B218,'Orig (V1_BCK)'!$C:$C,0),1)</f>
        <v>R4251279-K5092393-</v>
      </c>
      <c r="B218" s="3" t="str">
        <f>_xlfn.TEXTJOIN("-",FALSE,$C218,$I218,$J218)</f>
        <v>R4251279-K5092393-</v>
      </c>
      <c r="C218" s="2" t="s">
        <v>108</v>
      </c>
      <c r="D218" s="2" t="s">
        <v>109</v>
      </c>
      <c r="E218" s="2" t="s">
        <v>110</v>
      </c>
      <c r="F218" s="2" t="s">
        <v>111</v>
      </c>
      <c r="G218" s="2" t="s">
        <v>2076</v>
      </c>
      <c r="H218" s="2" t="s">
        <v>112</v>
      </c>
      <c r="I218" s="2" t="s">
        <v>294</v>
      </c>
      <c r="J218" s="2"/>
      <c r="K218" s="2" t="s">
        <v>2077</v>
      </c>
      <c r="L218" s="2" t="s">
        <v>295</v>
      </c>
      <c r="M218" s="2"/>
      <c r="N218" s="2" t="s">
        <v>296</v>
      </c>
      <c r="O218" s="2"/>
      <c r="P218" s="2"/>
      <c r="Q218" s="2"/>
      <c r="R218" s="2"/>
      <c r="S218" s="2"/>
      <c r="T218" s="2" t="s">
        <v>2041</v>
      </c>
    </row>
    <row r="219" spans="1:20" customFormat="1" ht="45" x14ac:dyDescent="0.25">
      <c r="A219" s="3" t="str">
        <f>INDEX('Orig (V1_BCK)'!$C:$C,MATCH($B219,'Orig (V1_BCK)'!$C:$C,0),1)</f>
        <v>R4251279-K6829701-</v>
      </c>
      <c r="B219" s="3" t="str">
        <f>_xlfn.TEXTJOIN("-",FALSE,$C219,$I219,$J219)</f>
        <v>R4251279-K6829701-</v>
      </c>
      <c r="C219" s="2" t="s">
        <v>108</v>
      </c>
      <c r="D219" s="2" t="s">
        <v>109</v>
      </c>
      <c r="E219" s="2" t="s">
        <v>110</v>
      </c>
      <c r="F219" s="2" t="s">
        <v>111</v>
      </c>
      <c r="G219" s="2" t="s">
        <v>2076</v>
      </c>
      <c r="H219" s="2" t="s">
        <v>112</v>
      </c>
      <c r="I219" s="2" t="s">
        <v>277</v>
      </c>
      <c r="J219" s="2"/>
      <c r="K219" s="2" t="s">
        <v>2077</v>
      </c>
      <c r="L219" s="2" t="s">
        <v>275</v>
      </c>
      <c r="M219" s="2"/>
      <c r="N219" s="2" t="s">
        <v>278</v>
      </c>
      <c r="O219" s="2"/>
      <c r="P219" s="2"/>
      <c r="Q219" s="2"/>
      <c r="R219" s="2"/>
      <c r="S219" s="2"/>
      <c r="T219" s="2" t="s">
        <v>2041</v>
      </c>
    </row>
    <row r="220" spans="1:20" customFormat="1" ht="45" x14ac:dyDescent="0.25">
      <c r="A220" s="3" t="str">
        <f>INDEX('Orig (V1_BCK)'!$C:$C,MATCH($B220,'Orig (V1_BCK)'!$C:$C,0),1)</f>
        <v>R4251279-K9328312-</v>
      </c>
      <c r="B220" s="3" t="str">
        <f>_xlfn.TEXTJOIN("-",FALSE,$C220,$I220,$J220)</f>
        <v>R4251279-K9328312-</v>
      </c>
      <c r="C220" s="2" t="s">
        <v>108</v>
      </c>
      <c r="D220" s="2" t="s">
        <v>109</v>
      </c>
      <c r="E220" s="2" t="s">
        <v>110</v>
      </c>
      <c r="F220" s="2" t="s">
        <v>111</v>
      </c>
      <c r="G220" s="2" t="s">
        <v>2076</v>
      </c>
      <c r="H220" s="2" t="s">
        <v>112</v>
      </c>
      <c r="I220" s="2" t="s">
        <v>338</v>
      </c>
      <c r="J220" s="2"/>
      <c r="K220" s="2" t="s">
        <v>2077</v>
      </c>
      <c r="L220" s="2" t="s">
        <v>295</v>
      </c>
      <c r="M220" s="2"/>
      <c r="N220" s="2" t="s">
        <v>339</v>
      </c>
      <c r="O220" s="2"/>
      <c r="P220" s="2"/>
      <c r="Q220" s="2"/>
      <c r="R220" s="2"/>
      <c r="S220" s="2"/>
      <c r="T220" s="2" t="s">
        <v>2041</v>
      </c>
    </row>
    <row r="221" spans="1:20" customFormat="1" ht="45" x14ac:dyDescent="0.25">
      <c r="A221" s="3" t="str">
        <f>INDEX('Orig (V1_BCK)'!$C:$C,MATCH($B221,'Orig (V1_BCK)'!$C:$C,0),1)</f>
        <v>R4251279-K9428348-</v>
      </c>
      <c r="B221" s="3" t="str">
        <f>_xlfn.TEXTJOIN("-",FALSE,$C221,$I221,$J221)</f>
        <v>R4251279-K9428348-</v>
      </c>
      <c r="C221" s="2" t="s">
        <v>108</v>
      </c>
      <c r="D221" s="2" t="s">
        <v>109</v>
      </c>
      <c r="E221" s="2" t="s">
        <v>110</v>
      </c>
      <c r="F221" s="2" t="s">
        <v>111</v>
      </c>
      <c r="G221" s="2" t="s">
        <v>2076</v>
      </c>
      <c r="H221" s="2" t="s">
        <v>112</v>
      </c>
      <c r="I221" s="2" t="s">
        <v>306</v>
      </c>
      <c r="J221" s="2"/>
      <c r="K221" s="2" t="s">
        <v>2077</v>
      </c>
      <c r="L221" s="2" t="s">
        <v>307</v>
      </c>
      <c r="M221" s="2"/>
      <c r="N221" s="2" t="s">
        <v>308</v>
      </c>
      <c r="O221" s="2"/>
      <c r="P221" s="2"/>
      <c r="Q221" s="2"/>
      <c r="R221" s="2"/>
      <c r="S221" s="2"/>
      <c r="T221" s="2" t="s">
        <v>2041</v>
      </c>
    </row>
    <row r="222" spans="1:20" customFormat="1" ht="45" x14ac:dyDescent="0.25">
      <c r="A222" s="3" t="str">
        <f>INDEX('Orig (V1_BCK)'!$C:$C,MATCH($B222,'Orig (V1_BCK)'!$C:$C,0),1)</f>
        <v>R4251279-L1379177-</v>
      </c>
      <c r="B222" s="3" t="str">
        <f>_xlfn.TEXTJOIN("-",FALSE,$C222,$I222,$J222)</f>
        <v>R4251279-L1379177-</v>
      </c>
      <c r="C222" s="2" t="s">
        <v>108</v>
      </c>
      <c r="D222" s="2" t="s">
        <v>109</v>
      </c>
      <c r="E222" s="2" t="s">
        <v>110</v>
      </c>
      <c r="F222" s="2" t="s">
        <v>111</v>
      </c>
      <c r="G222" s="2" t="s">
        <v>2076</v>
      </c>
      <c r="H222" s="2" t="s">
        <v>112</v>
      </c>
      <c r="I222" s="2" t="s">
        <v>193</v>
      </c>
      <c r="J222" s="2"/>
      <c r="K222" s="2" t="s">
        <v>2077</v>
      </c>
      <c r="L222" s="2" t="s">
        <v>194</v>
      </c>
      <c r="M222" s="2"/>
      <c r="N222" s="2" t="s">
        <v>195</v>
      </c>
      <c r="O222" s="2"/>
      <c r="P222" s="2"/>
      <c r="Q222" s="2"/>
      <c r="R222" s="2"/>
      <c r="S222" s="2"/>
      <c r="T222" s="2" t="s">
        <v>2041</v>
      </c>
    </row>
    <row r="223" spans="1:20" customFormat="1" ht="45" x14ac:dyDescent="0.25">
      <c r="A223" s="3" t="str">
        <f>INDEX('Orig (V1_BCK)'!$C:$C,MATCH($B223,'Orig (V1_BCK)'!$C:$C,0),1)</f>
        <v>R4251279-L1916684-</v>
      </c>
      <c r="B223" s="3" t="str">
        <f>_xlfn.TEXTJOIN("-",FALSE,$C223,$I223,$J223)</f>
        <v>R4251279-L1916684-</v>
      </c>
      <c r="C223" s="2" t="s">
        <v>108</v>
      </c>
      <c r="D223" s="2" t="s">
        <v>109</v>
      </c>
      <c r="E223" s="2" t="s">
        <v>110</v>
      </c>
      <c r="F223" s="2" t="s">
        <v>111</v>
      </c>
      <c r="G223" s="2" t="s">
        <v>2076</v>
      </c>
      <c r="H223" s="2" t="s">
        <v>112</v>
      </c>
      <c r="I223" s="2" t="s">
        <v>196</v>
      </c>
      <c r="J223" s="2"/>
      <c r="K223" s="2" t="s">
        <v>2077</v>
      </c>
      <c r="L223" s="2" t="s">
        <v>197</v>
      </c>
      <c r="M223" s="2"/>
      <c r="N223" s="2" t="s">
        <v>133</v>
      </c>
      <c r="O223" s="2"/>
      <c r="P223" s="2"/>
      <c r="Q223" s="2"/>
      <c r="R223" s="2"/>
      <c r="S223" s="2"/>
      <c r="T223" s="2" t="s">
        <v>2041</v>
      </c>
    </row>
    <row r="224" spans="1:20" customFormat="1" ht="45" x14ac:dyDescent="0.25">
      <c r="A224" s="3" t="str">
        <f>INDEX('Orig (V1_BCK)'!$C:$C,MATCH($B224,'Orig (V1_BCK)'!$C:$C,0),1)</f>
        <v>R4251279-L3774192-</v>
      </c>
      <c r="B224" s="3" t="str">
        <f>_xlfn.TEXTJOIN("-",FALSE,$C224,$I224,$J224)</f>
        <v>R4251279-L3774192-</v>
      </c>
      <c r="C224" s="2" t="s">
        <v>108</v>
      </c>
      <c r="D224" s="2" t="s">
        <v>109</v>
      </c>
      <c r="E224" s="2" t="s">
        <v>110</v>
      </c>
      <c r="F224" s="2" t="s">
        <v>111</v>
      </c>
      <c r="G224" s="2" t="s">
        <v>2076</v>
      </c>
      <c r="H224" s="2" t="s">
        <v>112</v>
      </c>
      <c r="I224" s="2" t="s">
        <v>134</v>
      </c>
      <c r="J224" s="2"/>
      <c r="K224" s="2" t="s">
        <v>2077</v>
      </c>
      <c r="L224" s="2" t="s">
        <v>135</v>
      </c>
      <c r="M224" s="2"/>
      <c r="N224" s="2" t="s">
        <v>136</v>
      </c>
      <c r="O224" s="2"/>
      <c r="P224" s="2"/>
      <c r="Q224" s="2"/>
      <c r="R224" s="2"/>
      <c r="S224" s="2"/>
      <c r="T224" s="2" t="s">
        <v>2041</v>
      </c>
    </row>
    <row r="225" spans="1:20" customFormat="1" ht="45" x14ac:dyDescent="0.25">
      <c r="A225" s="3" t="str">
        <f>INDEX('Orig (V1_BCK)'!$C:$C,MATCH($B225,'Orig (V1_BCK)'!$C:$C,0),1)</f>
        <v>R4251279-L5865003-</v>
      </c>
      <c r="B225" s="3" t="str">
        <f>_xlfn.TEXTJOIN("-",FALSE,$C225,$I225,$J225)</f>
        <v>R4251279-L5865003-</v>
      </c>
      <c r="C225" s="2" t="s">
        <v>108</v>
      </c>
      <c r="D225" s="2" t="s">
        <v>109</v>
      </c>
      <c r="E225" s="2" t="s">
        <v>110</v>
      </c>
      <c r="F225" s="2" t="s">
        <v>111</v>
      </c>
      <c r="G225" s="2" t="s">
        <v>2076</v>
      </c>
      <c r="H225" s="2" t="s">
        <v>112</v>
      </c>
      <c r="I225" s="2" t="s">
        <v>388</v>
      </c>
      <c r="J225" s="2"/>
      <c r="K225" s="2" t="s">
        <v>2077</v>
      </c>
      <c r="L225" s="2" t="s">
        <v>389</v>
      </c>
      <c r="M225" s="2"/>
      <c r="N225" s="2" t="s">
        <v>390</v>
      </c>
      <c r="O225" s="2"/>
      <c r="P225" s="2"/>
      <c r="Q225" s="2"/>
      <c r="R225" s="2"/>
      <c r="S225" s="2"/>
      <c r="T225" s="2" t="s">
        <v>2041</v>
      </c>
    </row>
    <row r="226" spans="1:20" customFormat="1" ht="45" x14ac:dyDescent="0.25">
      <c r="A226" s="3" t="str">
        <f>INDEX('Orig (V1_BCK)'!$C:$C,MATCH($B226,'Orig (V1_BCK)'!$C:$C,0),1)</f>
        <v>R4251279-L6208379-</v>
      </c>
      <c r="B226" s="3" t="str">
        <f>_xlfn.TEXTJOIN("-",FALSE,$C226,$I226,$J226)</f>
        <v>R4251279-L6208379-</v>
      </c>
      <c r="C226" s="2" t="s">
        <v>108</v>
      </c>
      <c r="D226" s="2" t="s">
        <v>109</v>
      </c>
      <c r="E226" s="2" t="s">
        <v>110</v>
      </c>
      <c r="F226" s="2" t="s">
        <v>111</v>
      </c>
      <c r="G226" s="2" t="s">
        <v>2076</v>
      </c>
      <c r="H226" s="2" t="s">
        <v>112</v>
      </c>
      <c r="I226" s="2" t="s">
        <v>329</v>
      </c>
      <c r="J226" s="2"/>
      <c r="K226" s="2" t="s">
        <v>2077</v>
      </c>
      <c r="L226" s="2" t="s">
        <v>330</v>
      </c>
      <c r="M226" s="2"/>
      <c r="N226" s="2" t="s">
        <v>331</v>
      </c>
      <c r="O226" s="2"/>
      <c r="P226" s="2"/>
      <c r="Q226" s="2"/>
      <c r="R226" s="2"/>
      <c r="S226" s="2"/>
      <c r="T226" s="2" t="s">
        <v>2041</v>
      </c>
    </row>
    <row r="227" spans="1:20" customFormat="1" ht="45" x14ac:dyDescent="0.25">
      <c r="A227" s="3" t="str">
        <f>INDEX('Orig (V1_BCK)'!$C:$C,MATCH($B227,'Orig (V1_BCK)'!$C:$C,0),1)</f>
        <v>R4251279-L7446926-</v>
      </c>
      <c r="B227" s="3" t="str">
        <f>_xlfn.TEXTJOIN("-",FALSE,$C227,$I227,$J227)</f>
        <v>R4251279-L7446926-</v>
      </c>
      <c r="C227" s="2" t="s">
        <v>108</v>
      </c>
      <c r="D227" s="2" t="s">
        <v>109</v>
      </c>
      <c r="E227" s="2" t="s">
        <v>110</v>
      </c>
      <c r="F227" s="2" t="s">
        <v>111</v>
      </c>
      <c r="G227" s="2" t="s">
        <v>2076</v>
      </c>
      <c r="H227" s="2" t="s">
        <v>112</v>
      </c>
      <c r="I227" s="2" t="s">
        <v>220</v>
      </c>
      <c r="J227" s="2"/>
      <c r="K227" s="2" t="s">
        <v>2077</v>
      </c>
      <c r="L227" s="2" t="s">
        <v>194</v>
      </c>
      <c r="M227" s="2"/>
      <c r="N227" s="2" t="s">
        <v>128</v>
      </c>
      <c r="O227" s="2"/>
      <c r="P227" s="2"/>
      <c r="Q227" s="2"/>
      <c r="R227" s="2"/>
      <c r="S227" s="2"/>
      <c r="T227" s="2" t="s">
        <v>2041</v>
      </c>
    </row>
    <row r="228" spans="1:20" customFormat="1" ht="45" x14ac:dyDescent="0.25">
      <c r="A228" s="3" t="str">
        <f>INDEX('Orig (V1_BCK)'!$C:$C,MATCH($B228,'Orig (V1_BCK)'!$C:$C,0),1)</f>
        <v>R4251279-M0201041-</v>
      </c>
      <c r="B228" s="3" t="str">
        <f>_xlfn.TEXTJOIN("-",FALSE,$C228,$I228,$J228)</f>
        <v>R4251279-M0201041-</v>
      </c>
      <c r="C228" s="2" t="s">
        <v>108</v>
      </c>
      <c r="D228" s="2" t="s">
        <v>109</v>
      </c>
      <c r="E228" s="2" t="s">
        <v>110</v>
      </c>
      <c r="F228" s="2" t="s">
        <v>111</v>
      </c>
      <c r="G228" s="2" t="s">
        <v>2076</v>
      </c>
      <c r="H228" s="2" t="s">
        <v>112</v>
      </c>
      <c r="I228" s="2" t="s">
        <v>209</v>
      </c>
      <c r="J228" s="2"/>
      <c r="K228" s="2" t="s">
        <v>2077</v>
      </c>
      <c r="L228" s="2" t="s">
        <v>210</v>
      </c>
      <c r="M228" s="2"/>
      <c r="N228" s="2" t="s">
        <v>211</v>
      </c>
      <c r="O228" s="2"/>
      <c r="P228" s="2"/>
      <c r="Q228" s="2"/>
      <c r="R228" s="2"/>
      <c r="S228" s="2"/>
      <c r="T228" s="2" t="s">
        <v>2041</v>
      </c>
    </row>
    <row r="229" spans="1:20" customFormat="1" ht="45" x14ac:dyDescent="0.25">
      <c r="A229" s="3" t="str">
        <f>INDEX('Orig (V1_BCK)'!$C:$C,MATCH($B229,'Orig (V1_BCK)'!$C:$C,0),1)</f>
        <v>R4251279-M0987407-</v>
      </c>
      <c r="B229" s="3" t="str">
        <f>_xlfn.TEXTJOIN("-",FALSE,$C229,$I229,$J229)</f>
        <v>R4251279-M0987407-</v>
      </c>
      <c r="C229" s="2" t="s">
        <v>108</v>
      </c>
      <c r="D229" s="2" t="s">
        <v>109</v>
      </c>
      <c r="E229" s="2" t="s">
        <v>110</v>
      </c>
      <c r="F229" s="2" t="s">
        <v>111</v>
      </c>
      <c r="G229" s="2" t="s">
        <v>2076</v>
      </c>
      <c r="H229" s="2" t="s">
        <v>112</v>
      </c>
      <c r="I229" s="2" t="s">
        <v>288</v>
      </c>
      <c r="J229" s="2"/>
      <c r="K229" s="2" t="s">
        <v>2077</v>
      </c>
      <c r="L229" s="2" t="s">
        <v>289</v>
      </c>
      <c r="M229" s="2"/>
      <c r="N229" s="2" t="s">
        <v>290</v>
      </c>
      <c r="O229" s="2"/>
      <c r="P229" s="2"/>
      <c r="Q229" s="2"/>
      <c r="R229" s="2"/>
      <c r="S229" s="2"/>
      <c r="T229" s="2" t="s">
        <v>2041</v>
      </c>
    </row>
    <row r="230" spans="1:20" customFormat="1" ht="45" x14ac:dyDescent="0.25">
      <c r="A230" s="3" t="str">
        <f>INDEX('Orig (V1_BCK)'!$C:$C,MATCH($B230,'Orig (V1_BCK)'!$C:$C,0),1)</f>
        <v>R4251279-M1274603-</v>
      </c>
      <c r="B230" s="3" t="str">
        <f>_xlfn.TEXTJOIN("-",FALSE,$C230,$I230,$J230)</f>
        <v>R4251279-M1274603-</v>
      </c>
      <c r="C230" s="2" t="s">
        <v>108</v>
      </c>
      <c r="D230" s="2" t="s">
        <v>109</v>
      </c>
      <c r="E230" s="2" t="s">
        <v>110</v>
      </c>
      <c r="F230" s="2" t="s">
        <v>111</v>
      </c>
      <c r="G230" s="2" t="s">
        <v>2076</v>
      </c>
      <c r="H230" s="2" t="s">
        <v>112</v>
      </c>
      <c r="I230" s="2" t="s">
        <v>263</v>
      </c>
      <c r="J230" s="2"/>
      <c r="K230" s="2" t="s">
        <v>2077</v>
      </c>
      <c r="L230" s="2" t="s">
        <v>264</v>
      </c>
      <c r="M230" s="2"/>
      <c r="N230" s="2" t="s">
        <v>265</v>
      </c>
      <c r="O230" s="2"/>
      <c r="P230" s="2"/>
      <c r="Q230" s="2"/>
      <c r="R230" s="2"/>
      <c r="S230" s="2"/>
      <c r="T230" s="2" t="s">
        <v>2041</v>
      </c>
    </row>
    <row r="231" spans="1:20" customFormat="1" ht="45" x14ac:dyDescent="0.25">
      <c r="A231" s="3" t="str">
        <f>INDEX('Orig (V1_BCK)'!$C:$C,MATCH($B231,'Orig (V1_BCK)'!$C:$C,0),1)</f>
        <v>R4251279-M1504047-</v>
      </c>
      <c r="B231" s="3" t="str">
        <f>_xlfn.TEXTJOIN("-",FALSE,$C231,$I231,$J231)</f>
        <v>R4251279-M1504047-</v>
      </c>
      <c r="C231" s="2" t="s">
        <v>108</v>
      </c>
      <c r="D231" s="2" t="s">
        <v>109</v>
      </c>
      <c r="E231" s="2" t="s">
        <v>110</v>
      </c>
      <c r="F231" s="2" t="s">
        <v>111</v>
      </c>
      <c r="G231" s="2" t="s">
        <v>2076</v>
      </c>
      <c r="H231" s="2" t="s">
        <v>112</v>
      </c>
      <c r="I231" s="2" t="s">
        <v>353</v>
      </c>
      <c r="J231" s="2"/>
      <c r="K231" s="2" t="s">
        <v>2077</v>
      </c>
      <c r="L231" s="2" t="s">
        <v>354</v>
      </c>
      <c r="M231" s="2"/>
      <c r="N231" s="2" t="s">
        <v>355</v>
      </c>
      <c r="O231" s="2"/>
      <c r="P231" s="2"/>
      <c r="Q231" s="2"/>
      <c r="R231" s="2"/>
      <c r="S231" s="2"/>
      <c r="T231" s="2" t="s">
        <v>2041</v>
      </c>
    </row>
    <row r="232" spans="1:20" customFormat="1" ht="45" x14ac:dyDescent="0.25">
      <c r="A232" s="3" t="str">
        <f>INDEX('Orig (V1_BCK)'!$C:$C,MATCH($B232,'Orig (V1_BCK)'!$C:$C,0),1)</f>
        <v>R4251279-M2478472-</v>
      </c>
      <c r="B232" s="3" t="str">
        <f>_xlfn.TEXTJOIN("-",FALSE,$C232,$I232,$J232)</f>
        <v>R4251279-M2478472-</v>
      </c>
      <c r="C232" s="2" t="s">
        <v>108</v>
      </c>
      <c r="D232" s="2" t="s">
        <v>109</v>
      </c>
      <c r="E232" s="2" t="s">
        <v>110</v>
      </c>
      <c r="F232" s="2" t="s">
        <v>111</v>
      </c>
      <c r="G232" s="2" t="s">
        <v>2076</v>
      </c>
      <c r="H232" s="2" t="s">
        <v>112</v>
      </c>
      <c r="I232" s="2" t="s">
        <v>149</v>
      </c>
      <c r="J232" s="2"/>
      <c r="K232" s="2" t="s">
        <v>2077</v>
      </c>
      <c r="L232" s="2" t="s">
        <v>150</v>
      </c>
      <c r="M232" s="2"/>
      <c r="N232" s="2" t="s">
        <v>151</v>
      </c>
      <c r="O232" s="2"/>
      <c r="P232" s="2"/>
      <c r="Q232" s="2"/>
      <c r="R232" s="2"/>
      <c r="S232" s="2"/>
      <c r="T232" s="2" t="s">
        <v>2041</v>
      </c>
    </row>
    <row r="233" spans="1:20" customFormat="1" ht="45" x14ac:dyDescent="0.25">
      <c r="A233" s="3" t="str">
        <f>INDEX('Orig (V1_BCK)'!$C:$C,MATCH($B233,'Orig (V1_BCK)'!$C:$C,0),1)</f>
        <v>R4251279-M3004909-</v>
      </c>
      <c r="B233" s="3" t="str">
        <f>_xlfn.TEXTJOIN("-",FALSE,$C233,$I233,$J233)</f>
        <v>R4251279-M3004909-</v>
      </c>
      <c r="C233" s="2" t="s">
        <v>108</v>
      </c>
      <c r="D233" s="2" t="s">
        <v>109</v>
      </c>
      <c r="E233" s="2" t="s">
        <v>110</v>
      </c>
      <c r="F233" s="2" t="s">
        <v>111</v>
      </c>
      <c r="G233" s="2" t="s">
        <v>2076</v>
      </c>
      <c r="H233" s="2" t="s">
        <v>112</v>
      </c>
      <c r="I233" s="2" t="s">
        <v>317</v>
      </c>
      <c r="J233" s="2"/>
      <c r="K233" s="2" t="s">
        <v>2077</v>
      </c>
      <c r="L233" s="2" t="s">
        <v>318</v>
      </c>
      <c r="M233" s="2"/>
      <c r="N233" s="2" t="s">
        <v>319</v>
      </c>
      <c r="O233" s="2"/>
      <c r="P233" s="2"/>
      <c r="Q233" s="2"/>
      <c r="R233" s="2"/>
      <c r="S233" s="2"/>
      <c r="T233" s="2" t="s">
        <v>2041</v>
      </c>
    </row>
    <row r="234" spans="1:20" customFormat="1" ht="45" x14ac:dyDescent="0.25">
      <c r="A234" s="3" t="str">
        <f>INDEX('Orig (V1_BCK)'!$C:$C,MATCH($B234,'Orig (V1_BCK)'!$C:$C,0),1)</f>
        <v>R4251279-M4552646-</v>
      </c>
      <c r="B234" s="3" t="str">
        <f>_xlfn.TEXTJOIN("-",FALSE,$C234,$I234,$J234)</f>
        <v>R4251279-M4552646-</v>
      </c>
      <c r="C234" s="2" t="s">
        <v>108</v>
      </c>
      <c r="D234" s="2" t="s">
        <v>109</v>
      </c>
      <c r="E234" s="2" t="s">
        <v>110</v>
      </c>
      <c r="F234" s="2" t="s">
        <v>111</v>
      </c>
      <c r="G234" s="2" t="s">
        <v>2076</v>
      </c>
      <c r="H234" s="2" t="s">
        <v>112</v>
      </c>
      <c r="I234" s="2" t="s">
        <v>365</v>
      </c>
      <c r="J234" s="2"/>
      <c r="K234" s="2" t="s">
        <v>2077</v>
      </c>
      <c r="L234" s="2" t="s">
        <v>366</v>
      </c>
      <c r="M234" s="2"/>
      <c r="N234" s="2" t="s">
        <v>367</v>
      </c>
      <c r="O234" s="2"/>
      <c r="P234" s="2"/>
      <c r="Q234" s="2"/>
      <c r="R234" s="2"/>
      <c r="S234" s="2"/>
      <c r="T234" s="2" t="s">
        <v>2041</v>
      </c>
    </row>
    <row r="235" spans="1:20" customFormat="1" ht="45" x14ac:dyDescent="0.25">
      <c r="A235" s="3" t="str">
        <f>INDEX('Orig (V1_BCK)'!$C:$C,MATCH($B235,'Orig (V1_BCK)'!$C:$C,0),1)</f>
        <v>R4251279-M4832835-</v>
      </c>
      <c r="B235" s="3" t="str">
        <f>_xlfn.TEXTJOIN("-",FALSE,$C235,$I235,$J235)</f>
        <v>R4251279-M4832835-</v>
      </c>
      <c r="C235" s="2" t="s">
        <v>108</v>
      </c>
      <c r="D235" s="2" t="s">
        <v>109</v>
      </c>
      <c r="E235" s="2" t="s">
        <v>110</v>
      </c>
      <c r="F235" s="2" t="s">
        <v>111</v>
      </c>
      <c r="G235" s="2" t="s">
        <v>2076</v>
      </c>
      <c r="H235" s="2" t="s">
        <v>112</v>
      </c>
      <c r="I235" s="2" t="s">
        <v>228</v>
      </c>
      <c r="J235" s="2"/>
      <c r="K235" s="2" t="s">
        <v>2077</v>
      </c>
      <c r="L235" s="2" t="s">
        <v>229</v>
      </c>
      <c r="M235" s="2"/>
      <c r="N235" s="2" t="s">
        <v>128</v>
      </c>
      <c r="O235" s="2"/>
      <c r="P235" s="2"/>
      <c r="Q235" s="2"/>
      <c r="R235" s="2"/>
      <c r="S235" s="2"/>
      <c r="T235" s="2" t="s">
        <v>2041</v>
      </c>
    </row>
    <row r="236" spans="1:20" customFormat="1" ht="45" x14ac:dyDescent="0.25">
      <c r="A236" s="3" t="str">
        <f>INDEX('Orig (V1_BCK)'!$C:$C,MATCH($B236,'Orig (V1_BCK)'!$C:$C,0),1)</f>
        <v>R4251279-M5348426-</v>
      </c>
      <c r="B236" s="3" t="str">
        <f>_xlfn.TEXTJOIN("-",FALSE,$C236,$I236,$J236)</f>
        <v>R4251279-M5348426-</v>
      </c>
      <c r="C236" s="2" t="s">
        <v>108</v>
      </c>
      <c r="D236" s="2" t="s">
        <v>109</v>
      </c>
      <c r="E236" s="2" t="s">
        <v>110</v>
      </c>
      <c r="F236" s="2" t="s">
        <v>111</v>
      </c>
      <c r="G236" s="2" t="s">
        <v>2076</v>
      </c>
      <c r="H236" s="2" t="s">
        <v>112</v>
      </c>
      <c r="I236" s="2" t="s">
        <v>152</v>
      </c>
      <c r="J236" s="2"/>
      <c r="K236" s="2" t="s">
        <v>2077</v>
      </c>
      <c r="L236" s="2" t="s">
        <v>153</v>
      </c>
      <c r="M236" s="2"/>
      <c r="N236" s="2" t="s">
        <v>154</v>
      </c>
      <c r="O236" s="2"/>
      <c r="P236" s="2"/>
      <c r="Q236" s="2"/>
      <c r="R236" s="2"/>
      <c r="S236" s="2"/>
      <c r="T236" s="2" t="s">
        <v>2041</v>
      </c>
    </row>
    <row r="237" spans="1:20" customFormat="1" ht="45" x14ac:dyDescent="0.25">
      <c r="A237" s="3" t="str">
        <f>INDEX('Orig (V1_BCK)'!$C:$C,MATCH($B237,'Orig (V1_BCK)'!$C:$C,0),1)</f>
        <v>R4251279-M5626688-</v>
      </c>
      <c r="B237" s="3" t="str">
        <f>_xlfn.TEXTJOIN("-",FALSE,$C237,$I237,$J237)</f>
        <v>R4251279-M5626688-</v>
      </c>
      <c r="C237" s="2" t="s">
        <v>108</v>
      </c>
      <c r="D237" s="2" t="s">
        <v>109</v>
      </c>
      <c r="E237" s="2" t="s">
        <v>110</v>
      </c>
      <c r="F237" s="2" t="s">
        <v>111</v>
      </c>
      <c r="G237" s="2" t="s">
        <v>2076</v>
      </c>
      <c r="H237" s="2" t="s">
        <v>112</v>
      </c>
      <c r="I237" s="2" t="s">
        <v>332</v>
      </c>
      <c r="J237" s="2"/>
      <c r="K237" s="2" t="s">
        <v>2077</v>
      </c>
      <c r="L237" s="2" t="s">
        <v>333</v>
      </c>
      <c r="M237" s="2"/>
      <c r="N237" s="2" t="s">
        <v>334</v>
      </c>
      <c r="O237" s="2"/>
      <c r="P237" s="2"/>
      <c r="Q237" s="2"/>
      <c r="R237" s="2"/>
      <c r="S237" s="2"/>
      <c r="T237" s="2" t="s">
        <v>2041</v>
      </c>
    </row>
    <row r="238" spans="1:20" customFormat="1" ht="45" x14ac:dyDescent="0.25">
      <c r="A238" s="3" t="str">
        <f>INDEX('Orig (V1_BCK)'!$C:$C,MATCH($B238,'Orig (V1_BCK)'!$C:$C,0),1)</f>
        <v>R4251279-M6004094-</v>
      </c>
      <c r="B238" s="3" t="str">
        <f>_xlfn.TEXTJOIN("-",FALSE,$C238,$I238,$J238)</f>
        <v>R4251279-M6004094-</v>
      </c>
      <c r="C238" s="2" t="s">
        <v>108</v>
      </c>
      <c r="D238" s="2" t="s">
        <v>109</v>
      </c>
      <c r="E238" s="2" t="s">
        <v>110</v>
      </c>
      <c r="F238" s="2" t="s">
        <v>111</v>
      </c>
      <c r="G238" s="2" t="s">
        <v>2076</v>
      </c>
      <c r="H238" s="2" t="s">
        <v>112</v>
      </c>
      <c r="I238" s="2" t="s">
        <v>279</v>
      </c>
      <c r="J238" s="2"/>
      <c r="K238" s="2" t="s">
        <v>2077</v>
      </c>
      <c r="L238" s="2" t="s">
        <v>280</v>
      </c>
      <c r="M238" s="2"/>
      <c r="N238" s="2" t="s">
        <v>281</v>
      </c>
      <c r="O238" s="2"/>
      <c r="P238" s="2"/>
      <c r="Q238" s="2"/>
      <c r="R238" s="2"/>
      <c r="S238" s="2"/>
      <c r="T238" s="2" t="s">
        <v>2041</v>
      </c>
    </row>
    <row r="239" spans="1:20" customFormat="1" ht="45" x14ac:dyDescent="0.25">
      <c r="A239" s="3" t="str">
        <f>INDEX('Orig (V1_BCK)'!$C:$C,MATCH($B239,'Orig (V1_BCK)'!$C:$C,0),1)</f>
        <v>R4251279-M6288357-</v>
      </c>
      <c r="B239" s="3" t="str">
        <f>_xlfn.TEXTJOIN("-",FALSE,$C239,$I239,$J239)</f>
        <v>R4251279-M6288357-</v>
      </c>
      <c r="C239" s="2" t="s">
        <v>108</v>
      </c>
      <c r="D239" s="2" t="s">
        <v>109</v>
      </c>
      <c r="E239" s="2" t="s">
        <v>110</v>
      </c>
      <c r="F239" s="2" t="s">
        <v>111</v>
      </c>
      <c r="G239" s="2" t="s">
        <v>2076</v>
      </c>
      <c r="H239" s="2" t="s">
        <v>112</v>
      </c>
      <c r="I239" s="2" t="s">
        <v>312</v>
      </c>
      <c r="J239" s="2"/>
      <c r="K239" s="2" t="s">
        <v>2077</v>
      </c>
      <c r="L239" s="2" t="s">
        <v>313</v>
      </c>
      <c r="M239" s="2"/>
      <c r="N239" s="2" t="s">
        <v>314</v>
      </c>
      <c r="O239" s="2"/>
      <c r="P239" s="2"/>
      <c r="Q239" s="2"/>
      <c r="R239" s="2"/>
      <c r="S239" s="2"/>
      <c r="T239" s="2" t="s">
        <v>2041</v>
      </c>
    </row>
    <row r="240" spans="1:20" customFormat="1" ht="45" x14ac:dyDescent="0.25">
      <c r="A240" s="3" t="str">
        <f>INDEX('Orig (V1_BCK)'!$C:$C,MATCH($B240,'Orig (V1_BCK)'!$C:$C,0),1)</f>
        <v>R4251279-M6316752-</v>
      </c>
      <c r="B240" s="3" t="str">
        <f>_xlfn.TEXTJOIN("-",FALSE,$C240,$I240,$J240)</f>
        <v>R4251279-M6316752-</v>
      </c>
      <c r="C240" s="2" t="s">
        <v>108</v>
      </c>
      <c r="D240" s="2" t="s">
        <v>109</v>
      </c>
      <c r="E240" s="2" t="s">
        <v>110</v>
      </c>
      <c r="F240" s="2" t="s">
        <v>111</v>
      </c>
      <c r="G240" s="2" t="s">
        <v>2076</v>
      </c>
      <c r="H240" s="2" t="s">
        <v>112</v>
      </c>
      <c r="I240" s="2" t="s">
        <v>340</v>
      </c>
      <c r="J240" s="2"/>
      <c r="K240" s="2" t="s">
        <v>2077</v>
      </c>
      <c r="L240" s="2" t="s">
        <v>280</v>
      </c>
      <c r="M240" s="2"/>
      <c r="N240" s="2" t="s">
        <v>341</v>
      </c>
      <c r="O240" s="2"/>
      <c r="P240" s="2"/>
      <c r="Q240" s="2"/>
      <c r="R240" s="2"/>
      <c r="S240" s="2"/>
      <c r="T240" s="2" t="s">
        <v>2041</v>
      </c>
    </row>
    <row r="241" spans="1:20" customFormat="1" ht="45" x14ac:dyDescent="0.25">
      <c r="A241" s="3" t="str">
        <f>INDEX('Orig (V1_BCK)'!$C:$C,MATCH($B241,'Orig (V1_BCK)'!$C:$C,0),1)</f>
        <v>R4251279-M6344770-</v>
      </c>
      <c r="B241" s="3" t="str">
        <f>_xlfn.TEXTJOIN("-",FALSE,$C241,$I241,$J241)</f>
        <v>R4251279-M6344770-</v>
      </c>
      <c r="C241" s="2" t="s">
        <v>108</v>
      </c>
      <c r="D241" s="2" t="s">
        <v>109</v>
      </c>
      <c r="E241" s="2" t="s">
        <v>110</v>
      </c>
      <c r="F241" s="2" t="s">
        <v>111</v>
      </c>
      <c r="G241" s="2" t="s">
        <v>2076</v>
      </c>
      <c r="H241" s="2" t="s">
        <v>112</v>
      </c>
      <c r="I241" s="2" t="s">
        <v>335</v>
      </c>
      <c r="J241" s="2"/>
      <c r="K241" s="2" t="s">
        <v>2077</v>
      </c>
      <c r="L241" s="2" t="s">
        <v>336</v>
      </c>
      <c r="M241" s="2"/>
      <c r="N241" s="2" t="s">
        <v>337</v>
      </c>
      <c r="O241" s="2"/>
      <c r="P241" s="2"/>
      <c r="Q241" s="2"/>
      <c r="R241" s="2"/>
      <c r="S241" s="2"/>
      <c r="T241" s="2" t="s">
        <v>2041</v>
      </c>
    </row>
    <row r="242" spans="1:20" customFormat="1" ht="45" x14ac:dyDescent="0.25">
      <c r="A242" s="3" t="str">
        <f>INDEX('Orig (V1_BCK)'!$C:$C,MATCH($B242,'Orig (V1_BCK)'!$C:$C,0),1)</f>
        <v>R4251279-M6644909-</v>
      </c>
      <c r="B242" s="3" t="str">
        <f>_xlfn.TEXTJOIN("-",FALSE,$C242,$I242,$J242)</f>
        <v>R4251279-M6644909-</v>
      </c>
      <c r="C242" s="2" t="s">
        <v>108</v>
      </c>
      <c r="D242" s="2" t="s">
        <v>109</v>
      </c>
      <c r="E242" s="2" t="s">
        <v>110</v>
      </c>
      <c r="F242" s="2" t="s">
        <v>111</v>
      </c>
      <c r="G242" s="2" t="s">
        <v>2076</v>
      </c>
      <c r="H242" s="2" t="s">
        <v>112</v>
      </c>
      <c r="I242" s="2" t="s">
        <v>282</v>
      </c>
      <c r="J242" s="2"/>
      <c r="K242" s="2" t="s">
        <v>2077</v>
      </c>
      <c r="L242" s="2" t="s">
        <v>283</v>
      </c>
      <c r="M242" s="2"/>
      <c r="N242" s="2" t="s">
        <v>284</v>
      </c>
      <c r="O242" s="2"/>
      <c r="P242" s="2"/>
      <c r="Q242" s="2"/>
      <c r="R242" s="2"/>
      <c r="S242" s="2"/>
      <c r="T242" s="2" t="s">
        <v>2041</v>
      </c>
    </row>
    <row r="243" spans="1:20" customFormat="1" ht="45" x14ac:dyDescent="0.25">
      <c r="A243" s="3" t="str">
        <f>INDEX('Orig (V1_BCK)'!$C:$C,MATCH($B243,'Orig (V1_BCK)'!$C:$C,0),1)</f>
        <v>R4251279-M6894777-</v>
      </c>
      <c r="B243" s="3" t="str">
        <f>_xlfn.TEXTJOIN("-",FALSE,$C243,$I243,$J243)</f>
        <v>R4251279-M6894777-</v>
      </c>
      <c r="C243" s="2" t="s">
        <v>108</v>
      </c>
      <c r="D243" s="2" t="s">
        <v>109</v>
      </c>
      <c r="E243" s="2" t="s">
        <v>110</v>
      </c>
      <c r="F243" s="2" t="s">
        <v>111</v>
      </c>
      <c r="G243" s="2" t="s">
        <v>2076</v>
      </c>
      <c r="H243" s="2" t="s">
        <v>112</v>
      </c>
      <c r="I243" s="2" t="s">
        <v>184</v>
      </c>
      <c r="J243" s="2"/>
      <c r="K243" s="2" t="s">
        <v>2077</v>
      </c>
      <c r="L243" s="2" t="s">
        <v>185</v>
      </c>
      <c r="M243" s="2"/>
      <c r="N243" s="2" t="s">
        <v>186</v>
      </c>
      <c r="O243" s="2"/>
      <c r="P243" s="2"/>
      <c r="Q243" s="2"/>
      <c r="R243" s="2"/>
      <c r="S243" s="2"/>
      <c r="T243" s="2" t="s">
        <v>2041</v>
      </c>
    </row>
    <row r="244" spans="1:20" customFormat="1" ht="45" x14ac:dyDescent="0.25">
      <c r="A244" s="3" t="str">
        <f>INDEX('Orig (V1_BCK)'!$C:$C,MATCH($B244,'Orig (V1_BCK)'!$C:$C,0),1)</f>
        <v>R4251279-M8014566-</v>
      </c>
      <c r="B244" s="3" t="str">
        <f>_xlfn.TEXTJOIN("-",FALSE,$C244,$I244,$J244)</f>
        <v>R4251279-M8014566-</v>
      </c>
      <c r="C244" s="2" t="s">
        <v>108</v>
      </c>
      <c r="D244" s="2" t="s">
        <v>109</v>
      </c>
      <c r="E244" s="2" t="s">
        <v>110</v>
      </c>
      <c r="F244" s="2" t="s">
        <v>111</v>
      </c>
      <c r="G244" s="2" t="s">
        <v>2076</v>
      </c>
      <c r="H244" s="2" t="s">
        <v>112</v>
      </c>
      <c r="I244" s="2" t="s">
        <v>137</v>
      </c>
      <c r="J244" s="2"/>
      <c r="K244" s="2" t="s">
        <v>2077</v>
      </c>
      <c r="L244" s="2" t="s">
        <v>138</v>
      </c>
      <c r="M244" s="2"/>
      <c r="N244" s="2" t="s">
        <v>139</v>
      </c>
      <c r="O244" s="2"/>
      <c r="P244" s="2"/>
      <c r="Q244" s="2"/>
      <c r="R244" s="2"/>
      <c r="S244" s="2"/>
      <c r="T244" s="2" t="s">
        <v>2041</v>
      </c>
    </row>
    <row r="245" spans="1:20" customFormat="1" ht="45" x14ac:dyDescent="0.25">
      <c r="A245" s="3" t="str">
        <f>INDEX('Orig (V1_BCK)'!$C:$C,MATCH($B245,'Orig (V1_BCK)'!$C:$C,0),1)</f>
        <v>R4251279-M8170346-</v>
      </c>
      <c r="B245" s="3" t="str">
        <f>_xlfn.TEXTJOIN("-",FALSE,$C245,$I245,$J245)</f>
        <v>R4251279-M8170346-</v>
      </c>
      <c r="C245" s="2" t="s">
        <v>108</v>
      </c>
      <c r="D245" s="2" t="s">
        <v>109</v>
      </c>
      <c r="E245" s="2" t="s">
        <v>110</v>
      </c>
      <c r="F245" s="2" t="s">
        <v>111</v>
      </c>
      <c r="G245" s="2" t="s">
        <v>2076</v>
      </c>
      <c r="H245" s="2" t="s">
        <v>112</v>
      </c>
      <c r="I245" s="2" t="s">
        <v>396</v>
      </c>
      <c r="J245" s="2"/>
      <c r="K245" s="2" t="s">
        <v>2077</v>
      </c>
      <c r="L245" s="2" t="s">
        <v>397</v>
      </c>
      <c r="M245" s="2"/>
      <c r="N245" s="2" t="s">
        <v>398</v>
      </c>
      <c r="O245" s="2"/>
      <c r="P245" s="2"/>
      <c r="Q245" s="2"/>
      <c r="R245" s="2"/>
      <c r="S245" s="2"/>
      <c r="T245" s="2" t="s">
        <v>2041</v>
      </c>
    </row>
    <row r="246" spans="1:20" customFormat="1" ht="45" x14ac:dyDescent="0.25">
      <c r="A246" s="3" t="str">
        <f>INDEX('Orig (V1_BCK)'!$C:$C,MATCH($B246,'Orig (V1_BCK)'!$C:$C,0),1)</f>
        <v>R4251279-M8491500-</v>
      </c>
      <c r="B246" s="3" t="str">
        <f>_xlfn.TEXTJOIN("-",FALSE,$C246,$I246,$J246)</f>
        <v>R4251279-M8491500-</v>
      </c>
      <c r="C246" s="2" t="s">
        <v>108</v>
      </c>
      <c r="D246" s="2" t="s">
        <v>109</v>
      </c>
      <c r="E246" s="2" t="s">
        <v>110</v>
      </c>
      <c r="F246" s="2" t="s">
        <v>111</v>
      </c>
      <c r="G246" s="2" t="s">
        <v>2076</v>
      </c>
      <c r="H246" s="2" t="s">
        <v>112</v>
      </c>
      <c r="I246" s="2" t="s">
        <v>140</v>
      </c>
      <c r="J246" s="2"/>
      <c r="K246" s="2" t="s">
        <v>2077</v>
      </c>
      <c r="L246" s="2" t="s">
        <v>141</v>
      </c>
      <c r="M246" s="2"/>
      <c r="N246" s="2" t="s">
        <v>142</v>
      </c>
      <c r="O246" s="2"/>
      <c r="P246" s="2"/>
      <c r="Q246" s="2"/>
      <c r="R246" s="2"/>
      <c r="S246" s="2"/>
      <c r="T246" s="2" t="s">
        <v>2041</v>
      </c>
    </row>
    <row r="247" spans="1:20" customFormat="1" ht="45" x14ac:dyDescent="0.25">
      <c r="A247" s="3" t="str">
        <f>INDEX('Orig (V1_BCK)'!$C:$C,MATCH($B247,'Orig (V1_BCK)'!$C:$C,0),1)</f>
        <v>R4251279-M9205867-</v>
      </c>
      <c r="B247" s="3" t="str">
        <f>_xlfn.TEXTJOIN("-",FALSE,$C247,$I247,$J247)</f>
        <v>R4251279-M9205867-</v>
      </c>
      <c r="C247" s="2" t="s">
        <v>108</v>
      </c>
      <c r="D247" s="2" t="s">
        <v>109</v>
      </c>
      <c r="E247" s="2" t="s">
        <v>110</v>
      </c>
      <c r="F247" s="2" t="s">
        <v>111</v>
      </c>
      <c r="G247" s="2" t="s">
        <v>2076</v>
      </c>
      <c r="H247" s="2" t="s">
        <v>112</v>
      </c>
      <c r="I247" s="2" t="s">
        <v>190</v>
      </c>
      <c r="J247" s="2"/>
      <c r="K247" s="2" t="s">
        <v>2077</v>
      </c>
      <c r="L247" s="2" t="s">
        <v>191</v>
      </c>
      <c r="M247" s="2"/>
      <c r="N247" s="2" t="s">
        <v>192</v>
      </c>
      <c r="O247" s="2"/>
      <c r="P247" s="2"/>
      <c r="Q247" s="2"/>
      <c r="R247" s="2"/>
      <c r="S247" s="2"/>
      <c r="T247" s="2" t="s">
        <v>2041</v>
      </c>
    </row>
    <row r="248" spans="1:20" customFormat="1" ht="45" x14ac:dyDescent="0.25">
      <c r="A248" s="3" t="str">
        <f>INDEX('Orig (V1_BCK)'!$C:$C,MATCH($B248,'Orig (V1_BCK)'!$C:$C,0),1)</f>
        <v>R4251279-M9411528-</v>
      </c>
      <c r="B248" s="3" t="str">
        <f>_xlfn.TEXTJOIN("-",FALSE,$C248,$I248,$J248)</f>
        <v>R4251279-M9411528-</v>
      </c>
      <c r="C248" s="2" t="s">
        <v>108</v>
      </c>
      <c r="D248" s="2" t="s">
        <v>109</v>
      </c>
      <c r="E248" s="2" t="s">
        <v>110</v>
      </c>
      <c r="F248" s="2" t="s">
        <v>111</v>
      </c>
      <c r="G248" s="2" t="s">
        <v>2076</v>
      </c>
      <c r="H248" s="2" t="s">
        <v>112</v>
      </c>
      <c r="I248" s="2" t="s">
        <v>399</v>
      </c>
      <c r="J248" s="2"/>
      <c r="K248" s="2" t="s">
        <v>2077</v>
      </c>
      <c r="L248" s="2" t="s">
        <v>313</v>
      </c>
      <c r="M248" s="2"/>
      <c r="N248" s="2" t="s">
        <v>400</v>
      </c>
      <c r="O248" s="2"/>
      <c r="P248" s="2"/>
      <c r="Q248" s="2"/>
      <c r="R248" s="2"/>
      <c r="S248" s="2"/>
      <c r="T248" s="2" t="s">
        <v>2041</v>
      </c>
    </row>
    <row r="249" spans="1:20" customFormat="1" ht="45" x14ac:dyDescent="0.25">
      <c r="A249" s="3" t="str">
        <f>INDEX('Orig (V1_BCK)'!$C:$C,MATCH($B249,'Orig (V1_BCK)'!$C:$C,0),1)</f>
        <v>R4251279-M9949088-</v>
      </c>
      <c r="B249" s="3" t="str">
        <f>_xlfn.TEXTJOIN("-",FALSE,$C249,$I249,$J249)</f>
        <v>R4251279-M9949088-</v>
      </c>
      <c r="C249" s="2" t="s">
        <v>108</v>
      </c>
      <c r="D249" s="2" t="s">
        <v>109</v>
      </c>
      <c r="E249" s="2" t="s">
        <v>110</v>
      </c>
      <c r="F249" s="2" t="s">
        <v>111</v>
      </c>
      <c r="G249" s="2" t="s">
        <v>2076</v>
      </c>
      <c r="H249" s="2" t="s">
        <v>112</v>
      </c>
      <c r="I249" s="2" t="s">
        <v>323</v>
      </c>
      <c r="J249" s="2"/>
      <c r="K249" s="2" t="s">
        <v>2077</v>
      </c>
      <c r="L249" s="2" t="s">
        <v>324</v>
      </c>
      <c r="M249" s="2"/>
      <c r="N249" s="2" t="s">
        <v>325</v>
      </c>
      <c r="O249" s="2"/>
      <c r="P249" s="2"/>
      <c r="Q249" s="2"/>
      <c r="R249" s="2"/>
      <c r="S249" s="2"/>
      <c r="T249" s="2" t="s">
        <v>2041</v>
      </c>
    </row>
    <row r="250" spans="1:20" customFormat="1" ht="45" x14ac:dyDescent="0.25">
      <c r="A250" s="3" t="str">
        <f>INDEX('Orig (V1_BCK)'!$C:$C,MATCH($B250,'Orig (V1_BCK)'!$C:$C,0),1)</f>
        <v>R4251279-N4158968-</v>
      </c>
      <c r="B250" s="3" t="str">
        <f>_xlfn.TEXTJOIN("-",FALSE,$C250,$I250,$J250)</f>
        <v>R4251279-N4158968-</v>
      </c>
      <c r="C250" s="2" t="s">
        <v>108</v>
      </c>
      <c r="D250" s="2" t="s">
        <v>109</v>
      </c>
      <c r="E250" s="2" t="s">
        <v>110</v>
      </c>
      <c r="F250" s="2" t="s">
        <v>111</v>
      </c>
      <c r="G250" s="2" t="s">
        <v>2076</v>
      </c>
      <c r="H250" s="2" t="s">
        <v>112</v>
      </c>
      <c r="I250" s="2" t="s">
        <v>223</v>
      </c>
      <c r="J250" s="2"/>
      <c r="K250" s="2" t="s">
        <v>2077</v>
      </c>
      <c r="L250" s="2" t="s">
        <v>224</v>
      </c>
      <c r="M250" s="2"/>
      <c r="N250" s="2" t="s">
        <v>16</v>
      </c>
      <c r="O250" s="2"/>
      <c r="P250" s="2"/>
      <c r="Q250" s="2"/>
      <c r="R250" s="2"/>
      <c r="S250" s="2"/>
      <c r="T250" s="2" t="s">
        <v>2041</v>
      </c>
    </row>
    <row r="251" spans="1:20" customFormat="1" ht="45" x14ac:dyDescent="0.25">
      <c r="A251" s="3" t="str">
        <f>INDEX('Orig (V1_BCK)'!$C:$C,MATCH($B251,'Orig (V1_BCK)'!$C:$C,0),1)</f>
        <v>R4251279-O0670575-</v>
      </c>
      <c r="B251" s="3" t="str">
        <f>_xlfn.TEXTJOIN("-",FALSE,$C251,$I251,$J251)</f>
        <v>R4251279-O0670575-</v>
      </c>
      <c r="C251" s="2" t="s">
        <v>108</v>
      </c>
      <c r="D251" s="2" t="s">
        <v>109</v>
      </c>
      <c r="E251" s="2" t="s">
        <v>110</v>
      </c>
      <c r="F251" s="2" t="s">
        <v>111</v>
      </c>
      <c r="G251" s="2" t="s">
        <v>2076</v>
      </c>
      <c r="H251" s="2" t="s">
        <v>112</v>
      </c>
      <c r="I251" s="2" t="s">
        <v>373</v>
      </c>
      <c r="J251" s="2"/>
      <c r="K251" s="2" t="s">
        <v>2077</v>
      </c>
      <c r="L251" s="2" t="s">
        <v>374</v>
      </c>
      <c r="M251" s="2"/>
      <c r="N251" s="2" t="s">
        <v>375</v>
      </c>
      <c r="O251" s="2"/>
      <c r="P251" s="2"/>
      <c r="Q251" s="2"/>
      <c r="R251" s="2"/>
      <c r="S251" s="2"/>
      <c r="T251" s="2" t="s">
        <v>2041</v>
      </c>
    </row>
    <row r="252" spans="1:20" customFormat="1" ht="45" x14ac:dyDescent="0.25">
      <c r="A252" s="3" t="str">
        <f>INDEX('Orig (V1_BCK)'!$C:$C,MATCH($B252,'Orig (V1_BCK)'!$C:$C,0),1)</f>
        <v>R4251279-O2855831-</v>
      </c>
      <c r="B252" s="3" t="str">
        <f>_xlfn.TEXTJOIN("-",FALSE,$C252,$I252,$J252)</f>
        <v>R4251279-O2855831-</v>
      </c>
      <c r="C252" s="2" t="s">
        <v>108</v>
      </c>
      <c r="D252" s="2" t="s">
        <v>109</v>
      </c>
      <c r="E252" s="2" t="s">
        <v>110</v>
      </c>
      <c r="F252" s="2" t="s">
        <v>111</v>
      </c>
      <c r="G252" s="2" t="s">
        <v>2076</v>
      </c>
      <c r="H252" s="2" t="s">
        <v>112</v>
      </c>
      <c r="I252" s="2" t="s">
        <v>356</v>
      </c>
      <c r="J252" s="2"/>
      <c r="K252" s="2" t="s">
        <v>2077</v>
      </c>
      <c r="L252" s="2" t="s">
        <v>357</v>
      </c>
      <c r="M252" s="2"/>
      <c r="N252" s="2" t="s">
        <v>358</v>
      </c>
      <c r="O252" s="2"/>
      <c r="P252" s="2"/>
      <c r="Q252" s="2"/>
      <c r="R252" s="2"/>
      <c r="S252" s="2"/>
      <c r="T252" s="2" t="s">
        <v>2041</v>
      </c>
    </row>
    <row r="253" spans="1:20" customFormat="1" ht="45" x14ac:dyDescent="0.25">
      <c r="A253" s="3" t="str">
        <f>INDEX('Orig (V1_BCK)'!$C:$C,MATCH($B253,'Orig (V1_BCK)'!$C:$C,0),1)</f>
        <v>R4251279-P1896415-</v>
      </c>
      <c r="B253" s="3" t="str">
        <f>_xlfn.TEXTJOIN("-",FALSE,$C253,$I253,$J253)</f>
        <v>R4251279-P1896415-</v>
      </c>
      <c r="C253" s="2" t="s">
        <v>108</v>
      </c>
      <c r="D253" s="2" t="s">
        <v>109</v>
      </c>
      <c r="E253" s="2" t="s">
        <v>110</v>
      </c>
      <c r="F253" s="2" t="s">
        <v>111</v>
      </c>
      <c r="G253" s="2" t="s">
        <v>2076</v>
      </c>
      <c r="H253" s="2" t="s">
        <v>112</v>
      </c>
      <c r="I253" s="2" t="s">
        <v>214</v>
      </c>
      <c r="J253" s="2"/>
      <c r="K253" s="2" t="s">
        <v>2077</v>
      </c>
      <c r="L253" s="2" t="s">
        <v>215</v>
      </c>
      <c r="M253" s="2"/>
      <c r="N253" s="2" t="s">
        <v>192</v>
      </c>
      <c r="O253" s="2"/>
      <c r="P253" s="2"/>
      <c r="Q253" s="2"/>
      <c r="R253" s="2"/>
      <c r="S253" s="2"/>
      <c r="T253" s="2" t="s">
        <v>2041</v>
      </c>
    </row>
    <row r="254" spans="1:20" customFormat="1" ht="45" x14ac:dyDescent="0.25">
      <c r="A254" s="3" t="str">
        <f>INDEX('Orig (V1_BCK)'!$C:$C,MATCH($B254,'Orig (V1_BCK)'!$C:$C,0),1)</f>
        <v>R4251279-P3519097-</v>
      </c>
      <c r="B254" s="3" t="str">
        <f>_xlfn.TEXTJOIN("-",FALSE,$C254,$I254,$J254)</f>
        <v>R4251279-P3519097-</v>
      </c>
      <c r="C254" s="2" t="s">
        <v>108</v>
      </c>
      <c r="D254" s="2" t="s">
        <v>109</v>
      </c>
      <c r="E254" s="2" t="s">
        <v>110</v>
      </c>
      <c r="F254" s="2" t="s">
        <v>111</v>
      </c>
      <c r="G254" s="2" t="s">
        <v>2076</v>
      </c>
      <c r="H254" s="2" t="s">
        <v>112</v>
      </c>
      <c r="I254" s="2" t="s">
        <v>221</v>
      </c>
      <c r="J254" s="2"/>
      <c r="K254" s="2" t="s">
        <v>2077</v>
      </c>
      <c r="L254" s="2" t="s">
        <v>58</v>
      </c>
      <c r="M254" s="2"/>
      <c r="N254" s="2" t="s">
        <v>222</v>
      </c>
      <c r="O254" s="2"/>
      <c r="P254" s="2"/>
      <c r="Q254" s="2"/>
      <c r="R254" s="2"/>
      <c r="S254" s="2"/>
      <c r="T254" s="2" t="s">
        <v>2041</v>
      </c>
    </row>
    <row r="255" spans="1:20" customFormat="1" ht="45" x14ac:dyDescent="0.25">
      <c r="A255" s="3" t="str">
        <f>INDEX('Orig (V1_BCK)'!$C:$C,MATCH($B255,'Orig (V1_BCK)'!$C:$C,0),1)</f>
        <v>R4251279-P3557786-</v>
      </c>
      <c r="B255" s="3" t="str">
        <f>_xlfn.TEXTJOIN("-",FALSE,$C255,$I255,$J255)</f>
        <v>R4251279-P3557786-</v>
      </c>
      <c r="C255" s="2" t="s">
        <v>108</v>
      </c>
      <c r="D255" s="2" t="s">
        <v>109</v>
      </c>
      <c r="E255" s="2" t="s">
        <v>110</v>
      </c>
      <c r="F255" s="2" t="s">
        <v>111</v>
      </c>
      <c r="G255" s="2" t="s">
        <v>2076</v>
      </c>
      <c r="H255" s="2" t="s">
        <v>112</v>
      </c>
      <c r="I255" s="2" t="s">
        <v>236</v>
      </c>
      <c r="J255" s="2"/>
      <c r="K255" s="2" t="s">
        <v>2077</v>
      </c>
      <c r="L255" s="2" t="s">
        <v>58</v>
      </c>
      <c r="M255" s="2"/>
      <c r="N255" s="2" t="s">
        <v>237</v>
      </c>
      <c r="O255" s="2"/>
      <c r="P255" s="2"/>
      <c r="Q255" s="2"/>
      <c r="R255" s="2"/>
      <c r="S255" s="2"/>
      <c r="T255" s="2" t="s">
        <v>2041</v>
      </c>
    </row>
    <row r="256" spans="1:20" customFormat="1" ht="45" x14ac:dyDescent="0.25">
      <c r="A256" s="3" t="str">
        <f>INDEX('Orig (V1_BCK)'!$C:$C,MATCH($B256,'Orig (V1_BCK)'!$C:$C,0),1)</f>
        <v>R4251279-P3941386-</v>
      </c>
      <c r="B256" s="3" t="str">
        <f>_xlfn.TEXTJOIN("-",FALSE,$C256,$I256,$J256)</f>
        <v>R4251279-P3941386-</v>
      </c>
      <c r="C256" s="2" t="s">
        <v>108</v>
      </c>
      <c r="D256" s="2" t="s">
        <v>109</v>
      </c>
      <c r="E256" s="2" t="s">
        <v>110</v>
      </c>
      <c r="F256" s="2" t="s">
        <v>111</v>
      </c>
      <c r="G256" s="2" t="s">
        <v>2076</v>
      </c>
      <c r="H256" s="2" t="s">
        <v>112</v>
      </c>
      <c r="I256" s="2" t="s">
        <v>121</v>
      </c>
      <c r="J256" s="2"/>
      <c r="K256" s="2" t="s">
        <v>2077</v>
      </c>
      <c r="L256" s="2" t="s">
        <v>58</v>
      </c>
      <c r="M256" s="2"/>
      <c r="N256" s="2" t="s">
        <v>122</v>
      </c>
      <c r="O256" s="2"/>
      <c r="P256" s="2"/>
      <c r="Q256" s="2"/>
      <c r="R256" s="2"/>
      <c r="S256" s="2"/>
      <c r="T256" s="2" t="s">
        <v>2041</v>
      </c>
    </row>
    <row r="257" spans="1:20" customFormat="1" ht="45" x14ac:dyDescent="0.25">
      <c r="A257" s="3" t="str">
        <f>INDEX('Orig (V1_BCK)'!$C:$C,MATCH($B257,'Orig (V1_BCK)'!$C:$C,0),1)</f>
        <v>R4251279-P4005378-</v>
      </c>
      <c r="B257" s="3" t="str">
        <f>_xlfn.TEXTJOIN("-",FALSE,$C257,$I257,$J257)</f>
        <v>R4251279-P4005378-</v>
      </c>
      <c r="C257" s="2" t="s">
        <v>108</v>
      </c>
      <c r="D257" s="2" t="s">
        <v>109</v>
      </c>
      <c r="E257" s="2" t="s">
        <v>110</v>
      </c>
      <c r="F257" s="2" t="s">
        <v>111</v>
      </c>
      <c r="G257" s="2" t="s">
        <v>2076</v>
      </c>
      <c r="H257" s="2" t="s">
        <v>112</v>
      </c>
      <c r="I257" s="2" t="s">
        <v>244</v>
      </c>
      <c r="J257" s="2"/>
      <c r="K257" s="2" t="s">
        <v>2077</v>
      </c>
      <c r="L257" s="2" t="s">
        <v>58</v>
      </c>
      <c r="M257" s="2"/>
      <c r="N257" s="2" t="s">
        <v>133</v>
      </c>
      <c r="O257" s="2"/>
      <c r="P257" s="2"/>
      <c r="Q257" s="2"/>
      <c r="R257" s="2"/>
      <c r="S257" s="2"/>
      <c r="T257" s="2" t="s">
        <v>2041</v>
      </c>
    </row>
    <row r="258" spans="1:20" customFormat="1" ht="45" x14ac:dyDescent="0.25">
      <c r="A258" s="3" t="str">
        <f>INDEX('Orig (V1_BCK)'!$C:$C,MATCH($B258,'Orig (V1_BCK)'!$C:$C,0),1)</f>
        <v>R4251279-P6305250-</v>
      </c>
      <c r="B258" s="3" t="str">
        <f>_xlfn.TEXTJOIN("-",FALSE,$C258,$I258,$J258)</f>
        <v>R4251279-P6305250-</v>
      </c>
      <c r="C258" s="2" t="s">
        <v>108</v>
      </c>
      <c r="D258" s="2" t="s">
        <v>109</v>
      </c>
      <c r="E258" s="2" t="s">
        <v>110</v>
      </c>
      <c r="F258" s="2" t="s">
        <v>111</v>
      </c>
      <c r="G258" s="2" t="s">
        <v>2076</v>
      </c>
      <c r="H258" s="2" t="s">
        <v>112</v>
      </c>
      <c r="I258" s="2" t="s">
        <v>245</v>
      </c>
      <c r="J258" s="2"/>
      <c r="K258" s="2" t="s">
        <v>2077</v>
      </c>
      <c r="L258" s="2" t="s">
        <v>58</v>
      </c>
      <c r="M258" s="2"/>
      <c r="N258" s="2" t="s">
        <v>246</v>
      </c>
      <c r="O258" s="2"/>
      <c r="P258" s="2"/>
      <c r="Q258" s="2"/>
      <c r="R258" s="2"/>
      <c r="S258" s="2"/>
      <c r="T258" s="2" t="s">
        <v>2041</v>
      </c>
    </row>
    <row r="259" spans="1:20" customFormat="1" ht="45" x14ac:dyDescent="0.25">
      <c r="A259" s="3" t="str">
        <f>INDEX('Orig (V1_BCK)'!$C:$C,MATCH($B259,'Orig (V1_BCK)'!$C:$C,0),1)</f>
        <v>R4251279-P8672352-</v>
      </c>
      <c r="B259" s="3" t="str">
        <f>_xlfn.TEXTJOIN("-",FALSE,$C259,$I259,$J259)</f>
        <v>R4251279-P8672352-</v>
      </c>
      <c r="C259" s="2" t="s">
        <v>108</v>
      </c>
      <c r="D259" s="2" t="s">
        <v>109</v>
      </c>
      <c r="E259" s="2" t="s">
        <v>110</v>
      </c>
      <c r="F259" s="2" t="s">
        <v>111</v>
      </c>
      <c r="G259" s="2" t="s">
        <v>2076</v>
      </c>
      <c r="H259" s="2" t="s">
        <v>112</v>
      </c>
      <c r="I259" s="2" t="s">
        <v>212</v>
      </c>
      <c r="J259" s="2"/>
      <c r="K259" s="2" t="s">
        <v>2077</v>
      </c>
      <c r="L259" s="2" t="s">
        <v>58</v>
      </c>
      <c r="M259" s="2"/>
      <c r="N259" s="2" t="s">
        <v>213</v>
      </c>
      <c r="O259" s="2"/>
      <c r="P259" s="2"/>
      <c r="Q259" s="2"/>
      <c r="R259" s="2"/>
      <c r="S259" s="2"/>
      <c r="T259" s="2" t="s">
        <v>2041</v>
      </c>
    </row>
    <row r="260" spans="1:20" customFormat="1" ht="45" x14ac:dyDescent="0.25">
      <c r="A260" s="3" t="str">
        <f>INDEX('Orig (V1_BCK)'!$C:$C,MATCH($B260,'Orig (V1_BCK)'!$C:$C,0),1)</f>
        <v>R4251279-R0094445-</v>
      </c>
      <c r="B260" s="3" t="str">
        <f>_xlfn.TEXTJOIN("-",FALSE,$C260,$I260,$J260)</f>
        <v>R4251279-R0094445-</v>
      </c>
      <c r="C260" s="2" t="s">
        <v>108</v>
      </c>
      <c r="D260" s="2" t="s">
        <v>109</v>
      </c>
      <c r="E260" s="2" t="s">
        <v>110</v>
      </c>
      <c r="F260" s="2" t="s">
        <v>111</v>
      </c>
      <c r="G260" s="2" t="s">
        <v>2076</v>
      </c>
      <c r="H260" s="2" t="s">
        <v>112</v>
      </c>
      <c r="I260" s="2" t="s">
        <v>225</v>
      </c>
      <c r="J260" s="2"/>
      <c r="K260" s="2" t="s">
        <v>2077</v>
      </c>
      <c r="L260" s="2" t="s">
        <v>226</v>
      </c>
      <c r="M260" s="2"/>
      <c r="N260" s="2" t="s">
        <v>227</v>
      </c>
      <c r="O260" s="2"/>
      <c r="P260" s="2"/>
      <c r="Q260" s="2"/>
      <c r="R260" s="2"/>
      <c r="S260" s="2"/>
      <c r="T260" s="2" t="s">
        <v>2041</v>
      </c>
    </row>
    <row r="261" spans="1:20" customFormat="1" ht="45" x14ac:dyDescent="0.25">
      <c r="A261" s="3" t="str">
        <f>INDEX('Orig (V1_BCK)'!$C:$C,MATCH($B261,'Orig (V1_BCK)'!$C:$C,0),1)</f>
        <v>R4251279-R0357636-</v>
      </c>
      <c r="B261" s="3" t="str">
        <f>_xlfn.TEXTJOIN("-",FALSE,$C261,$I261,$J261)</f>
        <v>R4251279-R0357636-</v>
      </c>
      <c r="C261" s="2" t="s">
        <v>108</v>
      </c>
      <c r="D261" s="2" t="s">
        <v>109</v>
      </c>
      <c r="E261" s="2" t="s">
        <v>110</v>
      </c>
      <c r="F261" s="2" t="s">
        <v>111</v>
      </c>
      <c r="G261" s="2" t="s">
        <v>2076</v>
      </c>
      <c r="H261" s="2" t="s">
        <v>112</v>
      </c>
      <c r="I261" s="2" t="s">
        <v>187</v>
      </c>
      <c r="J261" s="2"/>
      <c r="K261" s="2" t="s">
        <v>2077</v>
      </c>
      <c r="L261" s="2" t="s">
        <v>188</v>
      </c>
      <c r="M261" s="2"/>
      <c r="N261" s="2" t="s">
        <v>189</v>
      </c>
      <c r="O261" s="2"/>
      <c r="P261" s="2"/>
      <c r="Q261" s="2"/>
      <c r="R261" s="2"/>
      <c r="S261" s="2"/>
      <c r="T261" s="2" t="s">
        <v>2041</v>
      </c>
    </row>
    <row r="262" spans="1:20" customFormat="1" ht="45" x14ac:dyDescent="0.25">
      <c r="A262" s="3" t="str">
        <f>INDEX('Orig (V1_BCK)'!$C:$C,MATCH($B262,'Orig (V1_BCK)'!$C:$C,0),1)</f>
        <v>R4251279-R2670272-</v>
      </c>
      <c r="B262" s="3" t="str">
        <f>_xlfn.TEXTJOIN("-",FALSE,$C262,$I262,$J262)</f>
        <v>R4251279-R2670272-</v>
      </c>
      <c r="C262" s="2" t="s">
        <v>108</v>
      </c>
      <c r="D262" s="2" t="s">
        <v>109</v>
      </c>
      <c r="E262" s="2" t="s">
        <v>110</v>
      </c>
      <c r="F262" s="2" t="s">
        <v>111</v>
      </c>
      <c r="G262" s="2" t="s">
        <v>2076</v>
      </c>
      <c r="H262" s="2" t="s">
        <v>112</v>
      </c>
      <c r="I262" s="2" t="s">
        <v>431</v>
      </c>
      <c r="J262" s="2"/>
      <c r="K262" s="2" t="s">
        <v>2077</v>
      </c>
      <c r="L262" s="2" t="s">
        <v>432</v>
      </c>
      <c r="M262" s="2"/>
      <c r="N262" s="2" t="s">
        <v>433</v>
      </c>
      <c r="O262" s="2"/>
      <c r="P262" s="2"/>
      <c r="Q262" s="2"/>
      <c r="R262" s="2"/>
      <c r="S262" s="2"/>
      <c r="T262" s="2" t="s">
        <v>2041</v>
      </c>
    </row>
    <row r="263" spans="1:20" customFormat="1" ht="45" x14ac:dyDescent="0.25">
      <c r="A263" s="3" t="str">
        <f>INDEX('Orig (V1_BCK)'!$C:$C,MATCH($B263,'Orig (V1_BCK)'!$C:$C,0),1)</f>
        <v>R4251279-R2670272-</v>
      </c>
      <c r="B263" s="3" t="str">
        <f>_xlfn.TEXTJOIN("-",FALSE,$C263,$I263,$J263)</f>
        <v>R4251279-R2670272-</v>
      </c>
      <c r="C263" s="2" t="s">
        <v>108</v>
      </c>
      <c r="D263" s="2" t="s">
        <v>109</v>
      </c>
      <c r="E263" s="2" t="s">
        <v>110</v>
      </c>
      <c r="F263" s="2" t="s">
        <v>111</v>
      </c>
      <c r="G263" s="2" t="s">
        <v>2076</v>
      </c>
      <c r="H263" s="2" t="s">
        <v>112</v>
      </c>
      <c r="I263" s="2" t="s">
        <v>431</v>
      </c>
      <c r="J263" s="2"/>
      <c r="K263" s="2" t="s">
        <v>2077</v>
      </c>
      <c r="L263" s="2" t="s">
        <v>432</v>
      </c>
      <c r="M263" s="2"/>
      <c r="N263" s="2" t="s">
        <v>433</v>
      </c>
      <c r="O263" s="2"/>
      <c r="P263" s="2"/>
      <c r="Q263" s="2"/>
      <c r="R263" s="2"/>
      <c r="S263" s="2"/>
      <c r="T263" s="2" t="s">
        <v>2041</v>
      </c>
    </row>
    <row r="264" spans="1:20" customFormat="1" ht="45" x14ac:dyDescent="0.25">
      <c r="A264" s="3" t="str">
        <f>INDEX('Orig (V1_BCK)'!$C:$C,MATCH($B264,'Orig (V1_BCK)'!$C:$C,0),1)</f>
        <v>R4251279-R5557357-</v>
      </c>
      <c r="B264" s="3" t="str">
        <f>_xlfn.TEXTJOIN("-",FALSE,$C264,$I264,$J264)</f>
        <v>R4251279-R5557357-</v>
      </c>
      <c r="C264" s="2" t="s">
        <v>108</v>
      </c>
      <c r="D264" s="2" t="s">
        <v>109</v>
      </c>
      <c r="E264" s="2" t="s">
        <v>110</v>
      </c>
      <c r="F264" s="2" t="s">
        <v>111</v>
      </c>
      <c r="G264" s="2" t="s">
        <v>2076</v>
      </c>
      <c r="H264" s="2" t="s">
        <v>112</v>
      </c>
      <c r="I264" s="2" t="s">
        <v>175</v>
      </c>
      <c r="J264" s="2"/>
      <c r="K264" s="2" t="s">
        <v>2077</v>
      </c>
      <c r="L264" s="2" t="s">
        <v>176</v>
      </c>
      <c r="M264" s="2"/>
      <c r="N264" s="2" t="s">
        <v>177</v>
      </c>
      <c r="O264" s="2"/>
      <c r="P264" s="2"/>
      <c r="Q264" s="2"/>
      <c r="R264" s="2"/>
      <c r="S264" s="2"/>
      <c r="T264" s="2" t="s">
        <v>2041</v>
      </c>
    </row>
    <row r="265" spans="1:20" customFormat="1" ht="45" x14ac:dyDescent="0.25">
      <c r="A265" s="3" t="str">
        <f>INDEX('Orig (V1_BCK)'!$C:$C,MATCH($B265,'Orig (V1_BCK)'!$C:$C,0),1)</f>
        <v>R4251279-R6016876-</v>
      </c>
      <c r="B265" s="3" t="str">
        <f>_xlfn.TEXTJOIN("-",FALSE,$C265,$I265,$J265)</f>
        <v>R4251279-R6016876-</v>
      </c>
      <c r="C265" s="2" t="s">
        <v>108</v>
      </c>
      <c r="D265" s="2" t="s">
        <v>109</v>
      </c>
      <c r="E265" s="2" t="s">
        <v>110</v>
      </c>
      <c r="F265" s="2" t="s">
        <v>111</v>
      </c>
      <c r="G265" s="2" t="s">
        <v>2076</v>
      </c>
      <c r="H265" s="2" t="s">
        <v>112</v>
      </c>
      <c r="I265" s="2" t="s">
        <v>428</v>
      </c>
      <c r="J265" s="2"/>
      <c r="K265" s="2" t="s">
        <v>2077</v>
      </c>
      <c r="L265" s="2" t="s">
        <v>429</v>
      </c>
      <c r="M265" s="2"/>
      <c r="N265" s="2" t="s">
        <v>430</v>
      </c>
      <c r="O265" s="2"/>
      <c r="P265" s="2"/>
      <c r="Q265" s="2"/>
      <c r="R265" s="2"/>
      <c r="S265" s="2"/>
      <c r="T265" s="2" t="s">
        <v>2041</v>
      </c>
    </row>
    <row r="266" spans="1:20" customFormat="1" ht="45" x14ac:dyDescent="0.25">
      <c r="A266" s="3" t="str">
        <f>INDEX('Orig (V1_BCK)'!$C:$C,MATCH($B266,'Orig (V1_BCK)'!$C:$C,0),1)</f>
        <v>R4251279-R6016876-</v>
      </c>
      <c r="B266" s="3" t="str">
        <f>_xlfn.TEXTJOIN("-",FALSE,$C266,$I266,$J266)</f>
        <v>R4251279-R6016876-</v>
      </c>
      <c r="C266" s="2" t="s">
        <v>108</v>
      </c>
      <c r="D266" s="2" t="s">
        <v>109</v>
      </c>
      <c r="E266" s="2" t="s">
        <v>110</v>
      </c>
      <c r="F266" s="2" t="s">
        <v>111</v>
      </c>
      <c r="G266" s="2" t="s">
        <v>2076</v>
      </c>
      <c r="H266" s="2" t="s">
        <v>112</v>
      </c>
      <c r="I266" s="2" t="s">
        <v>428</v>
      </c>
      <c r="J266" s="2"/>
      <c r="K266" s="2" t="s">
        <v>2077</v>
      </c>
      <c r="L266" s="2" t="s">
        <v>429</v>
      </c>
      <c r="M266" s="2"/>
      <c r="N266" s="2" t="s">
        <v>430</v>
      </c>
      <c r="O266" s="2"/>
      <c r="P266" s="2"/>
      <c r="Q266" s="2"/>
      <c r="R266" s="2"/>
      <c r="S266" s="2"/>
      <c r="T266" s="2" t="s">
        <v>2041</v>
      </c>
    </row>
    <row r="267" spans="1:20" customFormat="1" ht="45" x14ac:dyDescent="0.25">
      <c r="A267" s="3" t="str">
        <f>INDEX('Orig (V1_BCK)'!$C:$C,MATCH($B267,'Orig (V1_BCK)'!$C:$C,0),1)</f>
        <v>R4251279-R6932822-</v>
      </c>
      <c r="B267" s="3" t="str">
        <f>_xlfn.TEXTJOIN("-",FALSE,$C267,$I267,$J267)</f>
        <v>R4251279-R6932822-</v>
      </c>
      <c r="C267" s="2" t="s">
        <v>108</v>
      </c>
      <c r="D267" s="2" t="s">
        <v>109</v>
      </c>
      <c r="E267" s="2" t="s">
        <v>110</v>
      </c>
      <c r="F267" s="2" t="s">
        <v>111</v>
      </c>
      <c r="G267" s="2" t="s">
        <v>2076</v>
      </c>
      <c r="H267" s="2" t="s">
        <v>112</v>
      </c>
      <c r="I267" s="2" t="s">
        <v>164</v>
      </c>
      <c r="J267" s="2"/>
      <c r="K267" s="2" t="s">
        <v>2077</v>
      </c>
      <c r="L267" s="2" t="s">
        <v>165</v>
      </c>
      <c r="M267" s="2"/>
      <c r="N267" s="2" t="s">
        <v>166</v>
      </c>
      <c r="O267" s="2"/>
      <c r="P267" s="2"/>
      <c r="Q267" s="2"/>
      <c r="R267" s="2"/>
      <c r="S267" s="2"/>
      <c r="T267" s="2" t="s">
        <v>2041</v>
      </c>
    </row>
    <row r="268" spans="1:20" customFormat="1" ht="45" x14ac:dyDescent="0.25">
      <c r="A268" s="3" t="str">
        <f>INDEX('Orig (V1_BCK)'!$C:$C,MATCH($B268,'Orig (V1_BCK)'!$C:$C,0),1)</f>
        <v>R4251279-R8094337-</v>
      </c>
      <c r="B268" s="3" t="str">
        <f>_xlfn.TEXTJOIN("-",FALSE,$C268,$I268,$J268)</f>
        <v>R4251279-R8094337-</v>
      </c>
      <c r="C268" s="2" t="s">
        <v>108</v>
      </c>
      <c r="D268" s="2" t="s">
        <v>109</v>
      </c>
      <c r="E268" s="2" t="s">
        <v>110</v>
      </c>
      <c r="F268" s="2" t="s">
        <v>111</v>
      </c>
      <c r="G268" s="2" t="s">
        <v>2076</v>
      </c>
      <c r="H268" s="2" t="s">
        <v>112</v>
      </c>
      <c r="I268" s="2" t="s">
        <v>238</v>
      </c>
      <c r="J268" s="2"/>
      <c r="K268" s="2" t="s">
        <v>2077</v>
      </c>
      <c r="L268" s="2" t="s">
        <v>239</v>
      </c>
      <c r="M268" s="2"/>
      <c r="N268" s="2" t="s">
        <v>240</v>
      </c>
      <c r="O268" s="2"/>
      <c r="P268" s="2"/>
      <c r="Q268" s="2"/>
      <c r="R268" s="2"/>
      <c r="S268" s="2"/>
      <c r="T268" s="2" t="s">
        <v>2041</v>
      </c>
    </row>
    <row r="269" spans="1:20" customFormat="1" ht="45" x14ac:dyDescent="0.25">
      <c r="A269" s="3" t="str">
        <f>INDEX('Orig (V1_BCK)'!$C:$C,MATCH($B269,'Orig (V1_BCK)'!$C:$C,0),1)</f>
        <v>R4251279-R9253941-</v>
      </c>
      <c r="B269" s="3" t="str">
        <f>_xlfn.TEXTJOIN("-",FALSE,$C269,$I269,$J269)</f>
        <v>R4251279-R9253941-</v>
      </c>
      <c r="C269" s="2" t="s">
        <v>108</v>
      </c>
      <c r="D269" s="2" t="s">
        <v>109</v>
      </c>
      <c r="E269" s="2" t="s">
        <v>110</v>
      </c>
      <c r="F269" s="2" t="s">
        <v>111</v>
      </c>
      <c r="G269" s="2" t="s">
        <v>2076</v>
      </c>
      <c r="H269" s="2" t="s">
        <v>112</v>
      </c>
      <c r="I269" s="2" t="s">
        <v>161</v>
      </c>
      <c r="J269" s="2"/>
      <c r="K269" s="2" t="s">
        <v>2077</v>
      </c>
      <c r="L269" s="2" t="s">
        <v>162</v>
      </c>
      <c r="M269" s="2"/>
      <c r="N269" s="2" t="s">
        <v>163</v>
      </c>
      <c r="O269" s="2"/>
      <c r="P269" s="2"/>
      <c r="Q269" s="2"/>
      <c r="R269" s="2"/>
      <c r="S269" s="2"/>
      <c r="T269" s="2" t="s">
        <v>2041</v>
      </c>
    </row>
    <row r="270" spans="1:20" customFormat="1" ht="45" x14ac:dyDescent="0.25">
      <c r="A270" s="3" t="str">
        <f>INDEX('Orig (V1_BCK)'!$C:$C,MATCH($B270,'Orig (V1_BCK)'!$C:$C,0),1)</f>
        <v>R4251279-S0210935-</v>
      </c>
      <c r="B270" s="3" t="str">
        <f>_xlfn.TEXTJOIN("-",FALSE,$C270,$I270,$J270)</f>
        <v>R4251279-S0210935-</v>
      </c>
      <c r="C270" s="2" t="s">
        <v>108</v>
      </c>
      <c r="D270" s="2" t="s">
        <v>109</v>
      </c>
      <c r="E270" s="2" t="s">
        <v>110</v>
      </c>
      <c r="F270" s="2" t="s">
        <v>111</v>
      </c>
      <c r="G270" s="2" t="s">
        <v>2076</v>
      </c>
      <c r="H270" s="2" t="s">
        <v>112</v>
      </c>
      <c r="I270" s="2" t="s">
        <v>376</v>
      </c>
      <c r="J270" s="2"/>
      <c r="K270" s="2" t="s">
        <v>2077</v>
      </c>
      <c r="L270" s="2" t="s">
        <v>377</v>
      </c>
      <c r="M270" s="2"/>
      <c r="N270" s="2" t="s">
        <v>378</v>
      </c>
      <c r="O270" s="2"/>
      <c r="P270" s="2"/>
      <c r="Q270" s="2"/>
      <c r="R270" s="2"/>
      <c r="S270" s="2"/>
      <c r="T270" s="2" t="s">
        <v>2041</v>
      </c>
    </row>
    <row r="271" spans="1:20" customFormat="1" ht="45" x14ac:dyDescent="0.25">
      <c r="A271" s="3" t="str">
        <f>INDEX('Orig (V1_BCK)'!$C:$C,MATCH($B271,'Orig (V1_BCK)'!$C:$C,0),1)</f>
        <v>R4251279-S1699066-</v>
      </c>
      <c r="B271" s="3" t="str">
        <f>_xlfn.TEXTJOIN("-",FALSE,$C271,$I271,$J271)</f>
        <v>R4251279-S1699066-</v>
      </c>
      <c r="C271" s="2" t="s">
        <v>108</v>
      </c>
      <c r="D271" s="2" t="s">
        <v>109</v>
      </c>
      <c r="E271" s="2" t="s">
        <v>110</v>
      </c>
      <c r="F271" s="2" t="s">
        <v>111</v>
      </c>
      <c r="G271" s="2" t="s">
        <v>2076</v>
      </c>
      <c r="H271" s="2" t="s">
        <v>112</v>
      </c>
      <c r="I271" s="2" t="s">
        <v>406</v>
      </c>
      <c r="J271" s="2"/>
      <c r="K271" s="2" t="s">
        <v>2077</v>
      </c>
      <c r="L271" s="2" t="s">
        <v>407</v>
      </c>
      <c r="M271" s="2"/>
      <c r="N271" s="2" t="s">
        <v>408</v>
      </c>
      <c r="O271" s="2"/>
      <c r="P271" s="2"/>
      <c r="Q271" s="2"/>
      <c r="R271" s="2"/>
      <c r="S271" s="2"/>
      <c r="T271" s="2" t="s">
        <v>2041</v>
      </c>
    </row>
    <row r="272" spans="1:20" customFormat="1" ht="45" x14ac:dyDescent="0.25">
      <c r="A272" s="3" t="str">
        <f>INDEX('Orig (V1_BCK)'!$C:$C,MATCH($B272,'Orig (V1_BCK)'!$C:$C,0),1)</f>
        <v>R4251279-S1731588-</v>
      </c>
      <c r="B272" s="3" t="str">
        <f>_xlfn.TEXTJOIN("-",FALSE,$C272,$I272,$J272)</f>
        <v>R4251279-S1731588-</v>
      </c>
      <c r="C272" s="2" t="s">
        <v>108</v>
      </c>
      <c r="D272" s="2" t="s">
        <v>109</v>
      </c>
      <c r="E272" s="2" t="s">
        <v>110</v>
      </c>
      <c r="F272" s="2" t="s">
        <v>111</v>
      </c>
      <c r="G272" s="2" t="s">
        <v>2076</v>
      </c>
      <c r="H272" s="2" t="s">
        <v>112</v>
      </c>
      <c r="I272" s="2" t="s">
        <v>348</v>
      </c>
      <c r="J272" s="2"/>
      <c r="K272" s="2" t="s">
        <v>2077</v>
      </c>
      <c r="L272" s="2" t="s">
        <v>349</v>
      </c>
      <c r="M272" s="2"/>
      <c r="N272" s="2" t="s">
        <v>350</v>
      </c>
      <c r="O272" s="2"/>
      <c r="P272" s="2"/>
      <c r="Q272" s="2"/>
      <c r="R272" s="2"/>
      <c r="S272" s="2"/>
      <c r="T272" s="2" t="s">
        <v>2041</v>
      </c>
    </row>
    <row r="273" spans="1:20" customFormat="1" ht="45" x14ac:dyDescent="0.25">
      <c r="A273" s="3" t="str">
        <f>INDEX('Orig (V1_BCK)'!$C:$C,MATCH($B273,'Orig (V1_BCK)'!$C:$C,0),1)</f>
        <v>R4251279-S1860198-</v>
      </c>
      <c r="B273" s="3" t="str">
        <f>_xlfn.TEXTJOIN("-",FALSE,$C273,$I273,$J273)</f>
        <v>R4251279-S1860198-</v>
      </c>
      <c r="C273" s="2" t="s">
        <v>108</v>
      </c>
      <c r="D273" s="2" t="s">
        <v>109</v>
      </c>
      <c r="E273" s="2" t="s">
        <v>110</v>
      </c>
      <c r="F273" s="2" t="s">
        <v>111</v>
      </c>
      <c r="G273" s="2" t="s">
        <v>2076</v>
      </c>
      <c r="H273" s="2" t="s">
        <v>112</v>
      </c>
      <c r="I273" s="2" t="s">
        <v>118</v>
      </c>
      <c r="J273" s="2"/>
      <c r="K273" s="2" t="s">
        <v>2077</v>
      </c>
      <c r="L273" s="2" t="s">
        <v>119</v>
      </c>
      <c r="M273" s="2"/>
      <c r="N273" s="2" t="s">
        <v>120</v>
      </c>
      <c r="O273" s="2"/>
      <c r="P273" s="2"/>
      <c r="Q273" s="2"/>
      <c r="R273" s="2"/>
      <c r="S273" s="2"/>
      <c r="T273" s="2" t="s">
        <v>2041</v>
      </c>
    </row>
    <row r="274" spans="1:20" customFormat="1" ht="45" x14ac:dyDescent="0.25">
      <c r="A274" s="3" t="str">
        <f>INDEX('Orig (V1_BCK)'!$C:$C,MATCH($B274,'Orig (V1_BCK)'!$C:$C,0),1)</f>
        <v>R4251279-S9863090-</v>
      </c>
      <c r="B274" s="3" t="str">
        <f>_xlfn.TEXTJOIN("-",FALSE,$C274,$I274,$J274)</f>
        <v>R4251279-S9863090-</v>
      </c>
      <c r="C274" s="2" t="s">
        <v>108</v>
      </c>
      <c r="D274" s="2" t="s">
        <v>109</v>
      </c>
      <c r="E274" s="2" t="s">
        <v>110</v>
      </c>
      <c r="F274" s="2" t="s">
        <v>111</v>
      </c>
      <c r="G274" s="2" t="s">
        <v>2076</v>
      </c>
      <c r="H274" s="2" t="s">
        <v>112</v>
      </c>
      <c r="I274" s="2" t="s">
        <v>309</v>
      </c>
      <c r="J274" s="2"/>
      <c r="K274" s="2" t="s">
        <v>2077</v>
      </c>
      <c r="L274" s="2" t="s">
        <v>310</v>
      </c>
      <c r="M274" s="2"/>
      <c r="N274" s="2" t="s">
        <v>311</v>
      </c>
      <c r="O274" s="2"/>
      <c r="P274" s="2"/>
      <c r="Q274" s="2"/>
      <c r="R274" s="2"/>
      <c r="S274" s="2"/>
      <c r="T274" s="2" t="s">
        <v>2041</v>
      </c>
    </row>
    <row r="275" spans="1:20" customFormat="1" ht="45" x14ac:dyDescent="0.25">
      <c r="A275" s="3" t="str">
        <f>INDEX('Orig (V1_BCK)'!$C:$C,MATCH($B275,'Orig (V1_BCK)'!$C:$C,0),1)</f>
        <v>R4251279-W2695769-</v>
      </c>
      <c r="B275" s="3" t="str">
        <f>_xlfn.TEXTJOIN("-",FALSE,$C275,$I275,$J275)</f>
        <v>R4251279-W2695769-</v>
      </c>
      <c r="C275" s="2" t="s">
        <v>108</v>
      </c>
      <c r="D275" s="2" t="s">
        <v>109</v>
      </c>
      <c r="E275" s="2" t="s">
        <v>110</v>
      </c>
      <c r="F275" s="2" t="s">
        <v>111</v>
      </c>
      <c r="G275" s="2" t="s">
        <v>2076</v>
      </c>
      <c r="H275" s="2" t="s">
        <v>112</v>
      </c>
      <c r="I275" s="2" t="s">
        <v>351</v>
      </c>
      <c r="J275" s="2"/>
      <c r="K275" s="2" t="s">
        <v>2077</v>
      </c>
      <c r="L275" s="2" t="s">
        <v>310</v>
      </c>
      <c r="M275" s="2"/>
      <c r="N275" s="2" t="s">
        <v>352</v>
      </c>
      <c r="O275" s="2"/>
      <c r="P275" s="2"/>
      <c r="Q275" s="2"/>
      <c r="R275" s="2"/>
      <c r="S275" s="2"/>
      <c r="T275" s="2" t="s">
        <v>2041</v>
      </c>
    </row>
    <row r="276" spans="1:20" customFormat="1" ht="45" x14ac:dyDescent="0.25">
      <c r="A276" s="3" t="str">
        <f>INDEX('Orig (V1_BCK)'!$C:$C,MATCH($B276,'Orig (V1_BCK)'!$C:$C,0),1)</f>
        <v>R4251279-Y0253734-</v>
      </c>
      <c r="B276" s="3" t="str">
        <f>_xlfn.TEXTJOIN("-",FALSE,$C276,$I276,$J276)</f>
        <v>R4251279-Y0253734-</v>
      </c>
      <c r="C276" s="2" t="s">
        <v>108</v>
      </c>
      <c r="D276" s="2" t="s">
        <v>109</v>
      </c>
      <c r="E276" s="2" t="s">
        <v>110</v>
      </c>
      <c r="F276" s="2" t="s">
        <v>111</v>
      </c>
      <c r="G276" s="2" t="s">
        <v>2076</v>
      </c>
      <c r="H276" s="2" t="s">
        <v>112</v>
      </c>
      <c r="I276" s="2" t="s">
        <v>379</v>
      </c>
      <c r="J276" s="2"/>
      <c r="K276" s="2" t="s">
        <v>2077</v>
      </c>
      <c r="L276" s="2" t="s">
        <v>380</v>
      </c>
      <c r="M276" s="2"/>
      <c r="N276" s="2" t="s">
        <v>381</v>
      </c>
      <c r="O276" s="2"/>
      <c r="P276" s="2"/>
      <c r="Q276" s="2"/>
      <c r="R276" s="2"/>
      <c r="S276" s="2"/>
      <c r="T276" s="2" t="s">
        <v>2041</v>
      </c>
    </row>
    <row r="277" spans="1:20" customFormat="1" ht="45" x14ac:dyDescent="0.25">
      <c r="A277" s="3" t="str">
        <f>INDEX('Orig (V1_BCK)'!$C:$C,MATCH($B277,'Orig (V1_BCK)'!$C:$C,0),1)</f>
        <v>R4251279-Y0565913-</v>
      </c>
      <c r="B277" s="3" t="str">
        <f>_xlfn.TEXTJOIN("-",FALSE,$C277,$I277,$J277)</f>
        <v>R4251279-Y0565913-</v>
      </c>
      <c r="C277" s="2" t="s">
        <v>108</v>
      </c>
      <c r="D277" s="2" t="s">
        <v>109</v>
      </c>
      <c r="E277" s="2" t="s">
        <v>110</v>
      </c>
      <c r="F277" s="2" t="s">
        <v>111</v>
      </c>
      <c r="G277" s="2" t="s">
        <v>2076</v>
      </c>
      <c r="H277" s="2" t="s">
        <v>112</v>
      </c>
      <c r="I277" s="2" t="s">
        <v>414</v>
      </c>
      <c r="J277" s="2"/>
      <c r="K277" s="2" t="s">
        <v>2077</v>
      </c>
      <c r="L277" s="2" t="s">
        <v>380</v>
      </c>
      <c r="M277" s="2"/>
      <c r="N277" s="2" t="s">
        <v>415</v>
      </c>
      <c r="O277" s="2"/>
      <c r="P277" s="2"/>
      <c r="Q277" s="2"/>
      <c r="R277" s="2"/>
      <c r="S277" s="2"/>
      <c r="T277" s="2" t="s">
        <v>2041</v>
      </c>
    </row>
    <row r="278" spans="1:20" customFormat="1" ht="45" x14ac:dyDescent="0.25">
      <c r="A278" s="3" t="str">
        <f>INDEX('Orig (V1_BCK)'!$C:$C,MATCH($B278,'Orig (V1_BCK)'!$C:$C,0),1)</f>
        <v>R4251279-Y2715658-</v>
      </c>
      <c r="B278" s="3" t="str">
        <f>_xlfn.TEXTJOIN("-",FALSE,$C278,$I278,$J278)</f>
        <v>R4251279-Y2715658-</v>
      </c>
      <c r="C278" s="2" t="s">
        <v>108</v>
      </c>
      <c r="D278" s="2" t="s">
        <v>109</v>
      </c>
      <c r="E278" s="2" t="s">
        <v>110</v>
      </c>
      <c r="F278" s="2" t="s">
        <v>111</v>
      </c>
      <c r="G278" s="2" t="s">
        <v>2076</v>
      </c>
      <c r="H278" s="2" t="s">
        <v>112</v>
      </c>
      <c r="I278" s="2" t="s">
        <v>385</v>
      </c>
      <c r="J278" s="2"/>
      <c r="K278" s="2" t="s">
        <v>2077</v>
      </c>
      <c r="L278" s="2" t="s">
        <v>386</v>
      </c>
      <c r="M278" s="2"/>
      <c r="N278" s="2" t="s">
        <v>387</v>
      </c>
      <c r="O278" s="2"/>
      <c r="P278" s="2"/>
      <c r="Q278" s="2"/>
      <c r="R278" s="2"/>
      <c r="S278" s="2"/>
      <c r="T278" s="2" t="s">
        <v>2041</v>
      </c>
    </row>
    <row r="279" spans="1:20" customFormat="1" ht="45" x14ac:dyDescent="0.25">
      <c r="A279" s="3" t="str">
        <f>INDEX('Orig (V1_BCK)'!$C:$C,MATCH($B279,'Orig (V1_BCK)'!$C:$C,0),1)</f>
        <v>R5077557--A6556153</v>
      </c>
      <c r="B279" s="3" t="str">
        <f>_xlfn.TEXTJOIN("-",FALSE,$C279,$I279,$J279)</f>
        <v>R5077557--A6556153</v>
      </c>
      <c r="C279" s="2" t="s">
        <v>9</v>
      </c>
      <c r="D279" s="2" t="s">
        <v>10</v>
      </c>
      <c r="E279" s="2" t="s">
        <v>11</v>
      </c>
      <c r="F279" s="2" t="s">
        <v>12</v>
      </c>
      <c r="G279" s="2" t="s">
        <v>2039</v>
      </c>
      <c r="H279" s="2" t="s">
        <v>13</v>
      </c>
      <c r="I279" s="2"/>
      <c r="J279" s="2" t="s">
        <v>14</v>
      </c>
      <c r="K279" s="2" t="s">
        <v>2040</v>
      </c>
      <c r="L279" s="2"/>
      <c r="M279" s="2" t="s">
        <v>15</v>
      </c>
      <c r="N279" s="2"/>
      <c r="O279" s="2" t="s">
        <v>16</v>
      </c>
      <c r="P279" s="2"/>
      <c r="Q279" s="2" t="s">
        <v>17</v>
      </c>
      <c r="R279" s="2"/>
      <c r="S279" s="2"/>
      <c r="T279" s="2" t="s">
        <v>2041</v>
      </c>
    </row>
    <row r="280" spans="1:20" customFormat="1" x14ac:dyDescent="0.25">
      <c r="A280" s="3" t="str">
        <f>INDEX('Orig (V1_BCK)'!$C:$C,MATCH($B280,'Orig (V1_BCK)'!$C:$C,0),1)</f>
        <v>R5240001-R5240001-</v>
      </c>
      <c r="B280" s="3" t="str">
        <f>_xlfn.TEXTJOIN("-",FALSE,$C280,$I280,$J280)</f>
        <v>R5240001-R5240001-</v>
      </c>
      <c r="C280" s="2" t="s">
        <v>668</v>
      </c>
      <c r="D280" s="2" t="s">
        <v>669</v>
      </c>
      <c r="E280" s="2" t="s">
        <v>670</v>
      </c>
      <c r="F280" s="2" t="s">
        <v>671</v>
      </c>
      <c r="G280" s="2" t="s">
        <v>2172</v>
      </c>
      <c r="H280" s="2" t="s">
        <v>672</v>
      </c>
      <c r="I280" s="2" t="s">
        <v>668</v>
      </c>
      <c r="J280" s="2"/>
      <c r="K280" s="2" t="s">
        <v>2173</v>
      </c>
      <c r="L280" s="2" t="s">
        <v>669</v>
      </c>
      <c r="M280" s="2"/>
      <c r="N280" s="2" t="s">
        <v>670</v>
      </c>
      <c r="O280" s="2"/>
      <c r="P280" s="2" t="s">
        <v>671</v>
      </c>
      <c r="Q280" s="2"/>
      <c r="R280" s="2"/>
      <c r="S280" s="2"/>
      <c r="T280" s="2" t="s">
        <v>2038</v>
      </c>
    </row>
    <row r="281" spans="1:20" customFormat="1" x14ac:dyDescent="0.25">
      <c r="A281" s="3" t="str">
        <f>INDEX('Orig (V1_BCK)'!$C:$C,MATCH($B281,'Orig (V1_BCK)'!$C:$C,0),1)</f>
        <v>R8352994-R8352994-</v>
      </c>
      <c r="B281" s="3" t="str">
        <f>_xlfn.TEXTJOIN("-",FALSE,$C281,$I281,$J281)</f>
        <v>R8352994-R8352994-</v>
      </c>
      <c r="C281" s="2" t="s">
        <v>94</v>
      </c>
      <c r="D281" s="2" t="s">
        <v>95</v>
      </c>
      <c r="E281" s="2" t="s">
        <v>96</v>
      </c>
      <c r="F281" s="2" t="s">
        <v>97</v>
      </c>
      <c r="G281" s="2" t="s">
        <v>2072</v>
      </c>
      <c r="H281" s="2" t="s">
        <v>98</v>
      </c>
      <c r="I281" s="2" t="s">
        <v>94</v>
      </c>
      <c r="J281" s="2"/>
      <c r="K281" s="2" t="s">
        <v>2073</v>
      </c>
      <c r="L281" s="2" t="s">
        <v>95</v>
      </c>
      <c r="M281" s="2"/>
      <c r="N281" s="2" t="s">
        <v>96</v>
      </c>
      <c r="O281" s="2"/>
      <c r="P281" s="2" t="s">
        <v>97</v>
      </c>
      <c r="Q281" s="2"/>
      <c r="R281" s="2"/>
      <c r="S281" s="2"/>
      <c r="T281" s="2" t="s">
        <v>2038</v>
      </c>
    </row>
    <row r="282" spans="1:20" ht="45" x14ac:dyDescent="0.25">
      <c r="A282" s="3" t="e">
        <f>INDEX('Orig (V1_BCK)'!$C:$C,MATCH($B282,'Orig (V1_BCK)'!$C:$C,0),1)</f>
        <v>#N/A</v>
      </c>
      <c r="B282" s="3" t="str">
        <f>_xlfn.TEXTJOIN("-",FALSE,$C282,$I282,$J282)</f>
        <v>R8403360--</v>
      </c>
      <c r="C282" s="2" t="s">
        <v>1193</v>
      </c>
      <c r="D282" s="2" t="s">
        <v>669</v>
      </c>
      <c r="E282" s="2" t="s">
        <v>44</v>
      </c>
      <c r="F282" s="2" t="s">
        <v>1194</v>
      </c>
      <c r="G282" s="2" t="s">
        <v>2376</v>
      </c>
      <c r="H282" s="2" t="s">
        <v>1192</v>
      </c>
      <c r="I282" s="2"/>
      <c r="J282" s="2"/>
      <c r="K282" s="2" t="s">
        <v>2377</v>
      </c>
      <c r="L282" s="2"/>
      <c r="M282" s="2"/>
      <c r="N282" s="2"/>
      <c r="O282" s="2"/>
      <c r="P282" s="2"/>
      <c r="Q282" s="2"/>
      <c r="R282" s="2"/>
      <c r="S282" s="2"/>
      <c r="T282" s="2" t="s">
        <v>107</v>
      </c>
    </row>
    <row r="283" spans="1:20" customFormat="1" x14ac:dyDescent="0.25">
      <c r="A283" s="3" t="str">
        <f>INDEX('Orig (V1_BCK)'!$C:$C,MATCH($B283,'Orig (V1_BCK)'!$C:$C,0),1)</f>
        <v>R8849211-R8849211-</v>
      </c>
      <c r="B283" s="3" t="str">
        <f>_xlfn.TEXTJOIN("-",FALSE,$C283,$I283,$J283)</f>
        <v>R8849211-R8849211-</v>
      </c>
      <c r="C283" s="2" t="s">
        <v>513</v>
      </c>
      <c r="D283" s="2" t="s">
        <v>514</v>
      </c>
      <c r="E283" s="2" t="s">
        <v>515</v>
      </c>
      <c r="F283" s="2" t="s">
        <v>516</v>
      </c>
      <c r="G283" s="2" t="s">
        <v>2111</v>
      </c>
      <c r="H283" s="2" t="s">
        <v>517</v>
      </c>
      <c r="I283" s="2" t="s">
        <v>513</v>
      </c>
      <c r="J283" s="2"/>
      <c r="K283" s="2" t="s">
        <v>2112</v>
      </c>
      <c r="L283" s="2" t="s">
        <v>514</v>
      </c>
      <c r="M283" s="2"/>
      <c r="N283" s="2" t="s">
        <v>515</v>
      </c>
      <c r="O283" s="2"/>
      <c r="P283" s="2" t="s">
        <v>516</v>
      </c>
      <c r="Q283" s="2"/>
      <c r="R283" s="2"/>
      <c r="S283" s="2"/>
      <c r="T283" s="2" t="s">
        <v>2046</v>
      </c>
    </row>
    <row r="284" spans="1:20" customFormat="1" x14ac:dyDescent="0.25">
      <c r="A284" s="3" t="str">
        <f>INDEX('Orig (V1_BCK)'!$C:$C,MATCH($B284,'Orig (V1_BCK)'!$C:$C,0),1)</f>
        <v>S5892027--G0003988</v>
      </c>
      <c r="B284" s="3" t="str">
        <f>_xlfn.TEXTJOIN("-",FALSE,$C284,$I284,$J284)</f>
        <v>S5892027--G0003988</v>
      </c>
      <c r="C284" s="2" t="s">
        <v>743</v>
      </c>
      <c r="D284" s="2" t="s">
        <v>744</v>
      </c>
      <c r="E284" s="2" t="s">
        <v>745</v>
      </c>
      <c r="F284" s="2" t="s">
        <v>746</v>
      </c>
      <c r="G284" s="2" t="s">
        <v>2201</v>
      </c>
      <c r="H284" s="2" t="s">
        <v>747</v>
      </c>
      <c r="I284" s="2"/>
      <c r="J284" s="2" t="s">
        <v>694</v>
      </c>
      <c r="K284" s="2" t="s">
        <v>2182</v>
      </c>
      <c r="L284" s="2"/>
      <c r="M284" s="2" t="s">
        <v>695</v>
      </c>
      <c r="N284" s="2"/>
      <c r="O284" s="2" t="s">
        <v>493</v>
      </c>
      <c r="P284" s="2"/>
      <c r="Q284" s="2" t="s">
        <v>696</v>
      </c>
      <c r="R284" s="2"/>
      <c r="S284" s="2"/>
      <c r="T284" s="2" t="s">
        <v>2038</v>
      </c>
    </row>
    <row r="285" spans="1:20" ht="30" x14ac:dyDescent="0.25">
      <c r="A285" s="3" t="e">
        <f>INDEX('Orig (V1_BCK)'!$C:$C,MATCH($B285,'Orig (V1_BCK)'!$C:$C,0),1)</f>
        <v>#N/A</v>
      </c>
      <c r="B285" s="3" t="str">
        <f>_xlfn.TEXTJOIN("-",FALSE,$C285,$I285,$J285)</f>
        <v>S8384087-A5895481-</v>
      </c>
      <c r="C285" s="2" t="s">
        <v>1204</v>
      </c>
      <c r="D285" s="2" t="s">
        <v>1205</v>
      </c>
      <c r="E285" s="2" t="s">
        <v>557</v>
      </c>
      <c r="F285" s="2" t="s">
        <v>1206</v>
      </c>
      <c r="G285" s="2" t="s">
        <v>2402</v>
      </c>
      <c r="H285" s="2" t="s">
        <v>1268</v>
      </c>
      <c r="I285" s="2" t="s">
        <v>1235</v>
      </c>
      <c r="J285" s="2"/>
      <c r="K285" s="2" t="s">
        <v>2390</v>
      </c>
      <c r="L285" s="2" t="s">
        <v>1236</v>
      </c>
      <c r="M285" s="2"/>
      <c r="N285" s="2" t="s">
        <v>463</v>
      </c>
      <c r="O285" s="2"/>
      <c r="P285" s="2" t="s">
        <v>463</v>
      </c>
      <c r="Q285" s="2"/>
      <c r="R285" s="2"/>
      <c r="S285" s="2"/>
      <c r="T285" s="2" t="s">
        <v>107</v>
      </c>
    </row>
    <row r="286" spans="1:20" x14ac:dyDescent="0.25">
      <c r="A286" s="3" t="e">
        <f>INDEX('Orig (V1_BCK)'!$C:$C,MATCH($B286,'Orig (V1_BCK)'!$C:$C,0),1)</f>
        <v>#N/A</v>
      </c>
      <c r="B286" s="3" t="str">
        <f>_xlfn.TEXTJOIN("-",FALSE,$C286,$I286,$J286)</f>
        <v>S8384087--</v>
      </c>
      <c r="C286" s="2" t="s">
        <v>1204</v>
      </c>
      <c r="D286" s="2" t="s">
        <v>1205</v>
      </c>
      <c r="E286" s="2" t="s">
        <v>557</v>
      </c>
      <c r="F286" s="2" t="s">
        <v>1206</v>
      </c>
      <c r="G286" s="2" t="s">
        <v>2380</v>
      </c>
      <c r="H286" s="2" t="s">
        <v>1203</v>
      </c>
      <c r="I286" s="2"/>
      <c r="J286" s="2"/>
      <c r="K286" s="2" t="s">
        <v>2377</v>
      </c>
      <c r="L286" s="2"/>
      <c r="M286" s="2"/>
      <c r="N286" s="2"/>
      <c r="O286" s="2"/>
      <c r="P286" s="2"/>
      <c r="Q286" s="2"/>
      <c r="R286" s="2"/>
      <c r="S286" s="2"/>
      <c r="T286" s="2" t="s">
        <v>107</v>
      </c>
    </row>
    <row r="287" spans="1:20" ht="30" x14ac:dyDescent="0.25">
      <c r="A287" s="3" t="e">
        <f>INDEX('Orig (V1_BCK)'!$C:$C,MATCH($B287,'Orig (V1_BCK)'!$C:$C,0),1)</f>
        <v>#N/A</v>
      </c>
      <c r="B287" s="3" t="str">
        <f>_xlfn.TEXTJOIN("-",FALSE,$C287,$I287,$J287)</f>
        <v>SS012345-N3723463-</v>
      </c>
      <c r="C287" s="2" t="s">
        <v>653</v>
      </c>
      <c r="D287" s="2" t="s">
        <v>76</v>
      </c>
      <c r="E287" s="2" t="s">
        <v>77</v>
      </c>
      <c r="F287" s="2" t="s">
        <v>78</v>
      </c>
      <c r="G287" s="2" t="s">
        <v>2065</v>
      </c>
      <c r="H287" s="2" t="s">
        <v>79</v>
      </c>
      <c r="I287" s="2" t="s">
        <v>80</v>
      </c>
      <c r="J287" s="2"/>
      <c r="K287" s="2" t="s">
        <v>2066</v>
      </c>
      <c r="L287" s="2" t="s">
        <v>81</v>
      </c>
      <c r="M287" s="2"/>
      <c r="N287" s="2" t="s">
        <v>82</v>
      </c>
      <c r="O287" s="2"/>
      <c r="P287" s="2" t="s">
        <v>83</v>
      </c>
      <c r="Q287" s="2"/>
      <c r="R287" s="2"/>
      <c r="S287" s="2"/>
      <c r="T287" s="2" t="s">
        <v>2038</v>
      </c>
    </row>
    <row r="288" spans="1:20" customFormat="1" x14ac:dyDescent="0.25">
      <c r="A288" s="3" t="str">
        <f>INDEX('Orig (V1_BCK)'!$C:$C,MATCH($B288,'Orig (V1_BCK)'!$C:$C,0),1)</f>
        <v>T3229795-T3229795-</v>
      </c>
      <c r="B288" s="3" t="str">
        <f>_xlfn.TEXTJOIN("-",FALSE,$C288,$I288,$J288)</f>
        <v>T3229795-T3229795-</v>
      </c>
      <c r="C288" s="2" t="s">
        <v>53</v>
      </c>
      <c r="D288" s="2" t="s">
        <v>54</v>
      </c>
      <c r="E288" s="2" t="s">
        <v>55</v>
      </c>
      <c r="F288" s="2" t="s">
        <v>44</v>
      </c>
      <c r="G288" s="2" t="s">
        <v>2055</v>
      </c>
      <c r="H288" s="2" t="s">
        <v>56</v>
      </c>
      <c r="I288" s="2" t="s">
        <v>53</v>
      </c>
      <c r="J288" s="2"/>
      <c r="K288" s="2" t="s">
        <v>2056</v>
      </c>
      <c r="L288" s="2" t="s">
        <v>54</v>
      </c>
      <c r="M288" s="2"/>
      <c r="N288" s="2" t="s">
        <v>55</v>
      </c>
      <c r="O288" s="2"/>
      <c r="P288" s="2" t="s">
        <v>44</v>
      </c>
      <c r="Q288" s="2"/>
      <c r="R288" s="2"/>
      <c r="S288" s="2"/>
      <c r="T288" s="2" t="s">
        <v>47</v>
      </c>
    </row>
    <row r="289" spans="1:20" customFormat="1" ht="30" x14ac:dyDescent="0.25">
      <c r="A289" s="3" t="str">
        <f>INDEX('Orig (V1_BCK)'!$C:$C,MATCH($B289,'Orig (V1_BCK)'!$C:$C,0),1)</f>
        <v>V0741212-V0741212-</v>
      </c>
      <c r="B289" s="3" t="str">
        <f>_xlfn.TEXTJOIN("-",FALSE,$C289,$I289,$J289)</f>
        <v>V0741212-V0741212-</v>
      </c>
      <c r="C289" s="2" t="s">
        <v>803</v>
      </c>
      <c r="D289" s="2" t="s">
        <v>804</v>
      </c>
      <c r="E289" s="2" t="s">
        <v>805</v>
      </c>
      <c r="F289" s="2" t="s">
        <v>806</v>
      </c>
      <c r="G289" s="2" t="s">
        <v>2222</v>
      </c>
      <c r="H289" s="2" t="s">
        <v>807</v>
      </c>
      <c r="I289" s="2" t="s">
        <v>803</v>
      </c>
      <c r="J289" s="2"/>
      <c r="K289" s="2" t="s">
        <v>2223</v>
      </c>
      <c r="L289" s="2" t="s">
        <v>804</v>
      </c>
      <c r="M289" s="2"/>
      <c r="N289" s="2" t="s">
        <v>805</v>
      </c>
      <c r="O289" s="2"/>
      <c r="P289" s="2" t="s">
        <v>806</v>
      </c>
      <c r="Q289" s="2"/>
      <c r="R289" s="2"/>
      <c r="S289" s="2"/>
      <c r="T289" s="2" t="s">
        <v>107</v>
      </c>
    </row>
    <row r="290" spans="1:20" ht="30" x14ac:dyDescent="0.25">
      <c r="A290" s="3" t="e">
        <f>INDEX('Orig (V1_BCK)'!$C:$C,MATCH($B290,'Orig (V1_BCK)'!$C:$C,0),1)</f>
        <v>#N/A</v>
      </c>
      <c r="B290" s="3" t="str">
        <f>_xlfn.TEXTJOIN("-",FALSE,$C290,$I290,$J290)</f>
        <v>V4868064-A5895481-</v>
      </c>
      <c r="C290" s="2" t="s">
        <v>1228</v>
      </c>
      <c r="D290" s="2" t="s">
        <v>1229</v>
      </c>
      <c r="E290" s="2" t="s">
        <v>1230</v>
      </c>
      <c r="F290" s="2" t="s">
        <v>1231</v>
      </c>
      <c r="G290" s="2" t="s">
        <v>2389</v>
      </c>
      <c r="H290" s="2" t="s">
        <v>1234</v>
      </c>
      <c r="I290" s="2" t="s">
        <v>1235</v>
      </c>
      <c r="J290" s="2"/>
      <c r="K290" s="2" t="s">
        <v>2390</v>
      </c>
      <c r="L290" s="2" t="s">
        <v>1236</v>
      </c>
      <c r="M290" s="2"/>
      <c r="N290" s="2" t="s">
        <v>463</v>
      </c>
      <c r="O290" s="2"/>
      <c r="P290" s="2" t="s">
        <v>463</v>
      </c>
      <c r="Q290" s="2"/>
      <c r="R290" s="2"/>
      <c r="S290" s="2"/>
      <c r="T290" s="2" t="s">
        <v>107</v>
      </c>
    </row>
    <row r="291" spans="1:20" ht="60" x14ac:dyDescent="0.25">
      <c r="A291" s="3" t="e">
        <f>INDEX('Orig (V1_BCK)'!$C:$C,MATCH($B291,'Orig (V1_BCK)'!$C:$C,0),1)</f>
        <v>#N/A</v>
      </c>
      <c r="B291" s="3" t="str">
        <f>_xlfn.TEXTJOIN("-",FALSE,$C291,$I291,$J291)</f>
        <v>V4868064-J0041893-</v>
      </c>
      <c r="C291" s="2" t="s">
        <v>1228</v>
      </c>
      <c r="D291" s="2" t="s">
        <v>1229</v>
      </c>
      <c r="E291" s="2" t="s">
        <v>1230</v>
      </c>
      <c r="F291" s="2" t="s">
        <v>1231</v>
      </c>
      <c r="G291" s="2" t="s">
        <v>2407</v>
      </c>
      <c r="H291" s="2" t="s">
        <v>1282</v>
      </c>
      <c r="I291" s="2" t="s">
        <v>1182</v>
      </c>
      <c r="J291" s="2"/>
      <c r="K291" s="2" t="s">
        <v>2374</v>
      </c>
      <c r="L291" s="2" t="s">
        <v>1183</v>
      </c>
      <c r="M291" s="2"/>
      <c r="N291" s="2" t="s">
        <v>1184</v>
      </c>
      <c r="O291" s="2"/>
      <c r="P291" s="2" t="s">
        <v>1145</v>
      </c>
      <c r="Q291" s="2"/>
      <c r="R291" s="2"/>
      <c r="S291" s="2"/>
      <c r="T291" s="2" t="s">
        <v>107</v>
      </c>
    </row>
    <row r="292" spans="1:20" ht="45" x14ac:dyDescent="0.25">
      <c r="A292" s="3" t="e">
        <f>INDEX('Orig (V1_BCK)'!$C:$C,MATCH($B292,'Orig (V1_BCK)'!$C:$C,0),1)</f>
        <v>#N/A</v>
      </c>
      <c r="B292" s="3" t="str">
        <f>_xlfn.TEXTJOIN("-",FALSE,$C292,$I292,$J292)</f>
        <v>V4868064-J8902241-</v>
      </c>
      <c r="C292" s="2" t="s">
        <v>1228</v>
      </c>
      <c r="D292" s="2" t="s">
        <v>1229</v>
      </c>
      <c r="E292" s="2" t="s">
        <v>1230</v>
      </c>
      <c r="F292" s="2" t="s">
        <v>1231</v>
      </c>
      <c r="G292" s="2" t="s">
        <v>2386</v>
      </c>
      <c r="H292" s="2" t="s">
        <v>2387</v>
      </c>
      <c r="I292" s="2" t="s">
        <v>1226</v>
      </c>
      <c r="J292" s="2"/>
      <c r="K292" s="2" t="s">
        <v>2388</v>
      </c>
      <c r="L292" s="2" t="s">
        <v>1227</v>
      </c>
      <c r="M292" s="2"/>
      <c r="N292" s="2" t="s">
        <v>154</v>
      </c>
      <c r="O292" s="2"/>
      <c r="P292" s="2" t="s">
        <v>463</v>
      </c>
      <c r="Q292" s="2"/>
      <c r="R292" s="2"/>
      <c r="S292" s="2"/>
      <c r="T292" s="2" t="s">
        <v>107</v>
      </c>
    </row>
    <row r="293" spans="1:20" x14ac:dyDescent="0.25">
      <c r="A293" s="3" t="e">
        <f>INDEX('Orig (V1_BCK)'!$C:$C,MATCH($B293,'Orig (V1_BCK)'!$C:$C,0),1)</f>
        <v>#N/A</v>
      </c>
      <c r="B293" s="3" t="str">
        <f>_xlfn.TEXTJOIN("-",FALSE,$C293,$I293,$J293)</f>
        <v>V4868064-J8902241-</v>
      </c>
      <c r="C293" s="2" t="s">
        <v>1228</v>
      </c>
      <c r="D293" s="2" t="s">
        <v>1229</v>
      </c>
      <c r="E293" s="2" t="s">
        <v>1230</v>
      </c>
      <c r="F293" s="2" t="s">
        <v>1231</v>
      </c>
      <c r="G293" s="2" t="s">
        <v>2395</v>
      </c>
      <c r="H293" s="2" t="s">
        <v>1251</v>
      </c>
      <c r="I293" s="2" t="s">
        <v>1226</v>
      </c>
      <c r="J293" s="2"/>
      <c r="K293" s="2" t="s">
        <v>2388</v>
      </c>
      <c r="L293" s="2" t="s">
        <v>1227</v>
      </c>
      <c r="M293" s="2"/>
      <c r="N293" s="2" t="s">
        <v>154</v>
      </c>
      <c r="O293" s="2"/>
      <c r="P293" s="2" t="s">
        <v>463</v>
      </c>
      <c r="Q293" s="2"/>
      <c r="R293" s="2"/>
      <c r="S293" s="2"/>
      <c r="T293" s="2" t="s">
        <v>107</v>
      </c>
    </row>
    <row r="294" spans="1:20" ht="30" x14ac:dyDescent="0.25">
      <c r="A294" s="3" t="e">
        <f>INDEX('Orig (V1_BCK)'!$C:$C,MATCH($B294,'Orig (V1_BCK)'!$C:$C,0),1)</f>
        <v>#N/A</v>
      </c>
      <c r="B294" s="3" t="str">
        <f>_xlfn.TEXTJOIN("-",FALSE,$C294,$I294,$J294)</f>
        <v>V5668792-J0041893-</v>
      </c>
      <c r="C294" s="2" t="s">
        <v>99</v>
      </c>
      <c r="D294" s="2" t="s">
        <v>100</v>
      </c>
      <c r="E294" s="2" t="s">
        <v>101</v>
      </c>
      <c r="F294" s="2" t="s">
        <v>102</v>
      </c>
      <c r="G294" s="2" t="s">
        <v>2403</v>
      </c>
      <c r="H294" s="2" t="s">
        <v>1272</v>
      </c>
      <c r="I294" s="2" t="s">
        <v>1182</v>
      </c>
      <c r="J294" s="2"/>
      <c r="K294" s="2" t="s">
        <v>2374</v>
      </c>
      <c r="L294" s="2" t="s">
        <v>1183</v>
      </c>
      <c r="M294" s="2"/>
      <c r="N294" s="2" t="s">
        <v>1184</v>
      </c>
      <c r="O294" s="2"/>
      <c r="P294" s="2" t="s">
        <v>1145</v>
      </c>
      <c r="Q294" s="2"/>
      <c r="R294" s="2"/>
      <c r="S294" s="2"/>
      <c r="T294" s="2" t="s">
        <v>107</v>
      </c>
    </row>
    <row r="295" spans="1:20" customFormat="1" ht="30" x14ac:dyDescent="0.25">
      <c r="A295" s="3" t="str">
        <f>INDEX('Orig (V1_BCK)'!$C:$C,MATCH($B295,'Orig (V1_BCK)'!$C:$C,0),1)</f>
        <v>V5668792-P9875672-</v>
      </c>
      <c r="B295" s="3" t="str">
        <f>_xlfn.TEXTJOIN("-",FALSE,$C295,$I295,$J295)</f>
        <v>V5668792-P9875672-</v>
      </c>
      <c r="C295" s="2" t="s">
        <v>99</v>
      </c>
      <c r="D295" s="2" t="s">
        <v>100</v>
      </c>
      <c r="E295" s="2" t="s">
        <v>101</v>
      </c>
      <c r="F295" s="2" t="s">
        <v>102</v>
      </c>
      <c r="G295" s="2" t="s">
        <v>2074</v>
      </c>
      <c r="H295" s="2" t="s">
        <v>103</v>
      </c>
      <c r="I295" s="2" t="s">
        <v>104</v>
      </c>
      <c r="J295" s="2"/>
      <c r="K295" s="2" t="s">
        <v>2075</v>
      </c>
      <c r="L295" s="2" t="s">
        <v>58</v>
      </c>
      <c r="M295" s="2"/>
      <c r="N295" s="2" t="s">
        <v>105</v>
      </c>
      <c r="O295" s="2"/>
      <c r="P295" s="2" t="s">
        <v>106</v>
      </c>
      <c r="Q295" s="2"/>
      <c r="R295" s="2"/>
      <c r="S295" s="2"/>
      <c r="T295" s="2" t="s">
        <v>107</v>
      </c>
    </row>
    <row r="296" spans="1:20" ht="45" x14ac:dyDescent="0.25">
      <c r="A296" s="3" t="e">
        <f>INDEX('Orig (V1_BCK)'!$C:$C,MATCH($B296,'Orig (V1_BCK)'!$C:$C,0),1)</f>
        <v>#N/A</v>
      </c>
      <c r="B296" s="3" t="str">
        <f>_xlfn.TEXTJOIN("-",FALSE,$C296,$I296,$J296)</f>
        <v>V6468070-J8902241-</v>
      </c>
      <c r="C296" s="2" t="s">
        <v>1223</v>
      </c>
      <c r="D296" s="2" t="s">
        <v>764</v>
      </c>
      <c r="E296" s="2" t="s">
        <v>1224</v>
      </c>
      <c r="F296" s="2" t="s">
        <v>1225</v>
      </c>
      <c r="G296" s="2" t="s">
        <v>2386</v>
      </c>
      <c r="H296" s="2" t="s">
        <v>2387</v>
      </c>
      <c r="I296" s="2" t="s">
        <v>1226</v>
      </c>
      <c r="J296" s="2"/>
      <c r="K296" s="2" t="s">
        <v>2388</v>
      </c>
      <c r="L296" s="2" t="s">
        <v>1227</v>
      </c>
      <c r="M296" s="2"/>
      <c r="N296" s="2" t="s">
        <v>154</v>
      </c>
      <c r="O296" s="2"/>
      <c r="P296" s="2" t="s">
        <v>463</v>
      </c>
      <c r="Q296" s="2"/>
      <c r="R296" s="2"/>
      <c r="S296" s="2"/>
      <c r="T296" s="2" t="s">
        <v>2038</v>
      </c>
    </row>
    <row r="297" spans="1:20" x14ac:dyDescent="0.25">
      <c r="A297" s="3" t="e">
        <f>INDEX('Orig (V1_BCK)'!$C:$C,MATCH($B297,'Orig (V1_BCK)'!$C:$C,0),1)</f>
        <v>#N/A</v>
      </c>
      <c r="B297" s="3" t="str">
        <f>_xlfn.TEXTJOIN("-",FALSE,$C297,$I297,$J297)</f>
        <v>V6468070-J8902241-</v>
      </c>
      <c r="C297" s="2" t="s">
        <v>1223</v>
      </c>
      <c r="D297" s="2" t="s">
        <v>764</v>
      </c>
      <c r="E297" s="2" t="s">
        <v>1224</v>
      </c>
      <c r="F297" s="2" t="s">
        <v>1225</v>
      </c>
      <c r="G297" s="2" t="s">
        <v>2395</v>
      </c>
      <c r="H297" s="2" t="s">
        <v>1251</v>
      </c>
      <c r="I297" s="2" t="s">
        <v>1226</v>
      </c>
      <c r="J297" s="2"/>
      <c r="K297" s="2" t="s">
        <v>2388</v>
      </c>
      <c r="L297" s="2" t="s">
        <v>1227</v>
      </c>
      <c r="M297" s="2"/>
      <c r="N297" s="2" t="s">
        <v>154</v>
      </c>
      <c r="O297" s="2"/>
      <c r="P297" s="2" t="s">
        <v>463</v>
      </c>
      <c r="Q297" s="2"/>
      <c r="R297" s="2"/>
      <c r="S297" s="2"/>
      <c r="T297" s="2" t="s">
        <v>2038</v>
      </c>
    </row>
    <row r="298" spans="1:20" customFormat="1" x14ac:dyDescent="0.25">
      <c r="A298" s="3" t="str">
        <f>INDEX('Orig (V1_BCK)'!$C:$C,MATCH($B298,'Orig (V1_BCK)'!$C:$C,0),1)</f>
        <v>V9777605-V9777605-</v>
      </c>
      <c r="B298" s="3" t="str">
        <f>_xlfn.TEXTJOIN("-",FALSE,$C298,$I298,$J298)</f>
        <v>V9777605-V9777605-</v>
      </c>
      <c r="C298" s="2" t="s">
        <v>738</v>
      </c>
      <c r="D298" s="2" t="s">
        <v>739</v>
      </c>
      <c r="E298" s="2" t="s">
        <v>740</v>
      </c>
      <c r="F298" s="2" t="s">
        <v>741</v>
      </c>
      <c r="G298" s="2" t="s">
        <v>2199</v>
      </c>
      <c r="H298" s="2" t="s">
        <v>742</v>
      </c>
      <c r="I298" s="2" t="s">
        <v>738</v>
      </c>
      <c r="J298" s="2"/>
      <c r="K298" s="2" t="s">
        <v>2200</v>
      </c>
      <c r="L298" s="2" t="s">
        <v>739</v>
      </c>
      <c r="M298" s="2"/>
      <c r="N298" s="2" t="s">
        <v>740</v>
      </c>
      <c r="O298" s="2"/>
      <c r="P298" s="2" t="s">
        <v>741</v>
      </c>
      <c r="Q298" s="2"/>
      <c r="R298" s="2"/>
      <c r="S298" s="2"/>
      <c r="T298" s="2" t="s">
        <v>2038</v>
      </c>
    </row>
    <row r="299" spans="1:20" customFormat="1" ht="30" x14ac:dyDescent="0.25">
      <c r="A299" s="3" t="str">
        <f>INDEX('Orig (V1_BCK)'!$C:$C,MATCH($B299,'Orig (V1_BCK)'!$C:$C,0),1)</f>
        <v>Y2236249--I6825354</v>
      </c>
      <c r="B299" s="3" t="str">
        <f>_xlfn.TEXTJOIN("-",FALSE,$C299,$I299,$J299)</f>
        <v>Y2236249--I6825354</v>
      </c>
      <c r="C299" s="2" t="s">
        <v>782</v>
      </c>
      <c r="D299" s="2" t="s">
        <v>783</v>
      </c>
      <c r="E299" s="2" t="s">
        <v>784</v>
      </c>
      <c r="F299" s="2" t="s">
        <v>8</v>
      </c>
      <c r="G299" s="2" t="s">
        <v>2216</v>
      </c>
      <c r="H299" s="2" t="s">
        <v>785</v>
      </c>
      <c r="I299" s="2"/>
      <c r="J299" s="2" t="s">
        <v>491</v>
      </c>
      <c r="K299" s="2" t="s">
        <v>2102</v>
      </c>
      <c r="L299" s="2"/>
      <c r="M299" s="2" t="s">
        <v>492</v>
      </c>
      <c r="N299" s="2"/>
      <c r="O299" s="2" t="s">
        <v>493</v>
      </c>
      <c r="P299" s="2"/>
      <c r="Q299" s="2" t="s">
        <v>60</v>
      </c>
      <c r="R299" s="2"/>
      <c r="S299" s="2"/>
      <c r="T299" s="2" t="s">
        <v>2083</v>
      </c>
    </row>
    <row r="300" spans="1:20" customFormat="1" x14ac:dyDescent="0.25">
      <c r="A300" s="3" t="str">
        <f>INDEX('Orig (V1_BCK)'!$C:$C,MATCH($B300,'Orig (V1_BCK)'!$C:$C,0),1)</f>
        <v>Y3223618--J6399199</v>
      </c>
      <c r="B300" s="3" t="str">
        <f>_xlfn.TEXTJOIN("-",FALSE,$C300,$I300,$J300)</f>
        <v>Y3223618--J6399199</v>
      </c>
      <c r="C300" s="2" t="s">
        <v>897</v>
      </c>
      <c r="D300" s="2" t="s">
        <v>898</v>
      </c>
      <c r="E300" s="2" t="s">
        <v>899</v>
      </c>
      <c r="F300" s="2" t="s">
        <v>900</v>
      </c>
      <c r="G300" s="2" t="s">
        <v>2252</v>
      </c>
      <c r="H300" s="2" t="s">
        <v>915</v>
      </c>
      <c r="I300" s="2"/>
      <c r="J300" s="2" t="s">
        <v>775</v>
      </c>
      <c r="K300" s="2" t="s">
        <v>2213</v>
      </c>
      <c r="L300" s="2"/>
      <c r="M300" s="2" t="s">
        <v>776</v>
      </c>
      <c r="N300" s="2"/>
      <c r="O300" s="2" t="s">
        <v>777</v>
      </c>
      <c r="P300" s="2"/>
      <c r="Q300" s="2" t="s">
        <v>778</v>
      </c>
      <c r="R300" s="2"/>
      <c r="S300" s="2"/>
      <c r="T300" s="2" t="s">
        <v>2083</v>
      </c>
    </row>
    <row r="301" spans="1:20" x14ac:dyDescent="0.25">
      <c r="A301" s="3" t="e">
        <f>INDEX('Orig (V1_BCK)'!$C:$C,MATCH($B301,'Orig (V1_BCK)'!$C:$C,0),1)</f>
        <v>#N/A</v>
      </c>
      <c r="B301" s="3" t="str">
        <f>_xlfn.TEXTJOIN("-",FALSE,$C301,$I301,$J301)</f>
        <v>Y7812568--</v>
      </c>
      <c r="C301" s="2" t="s">
        <v>1195</v>
      </c>
      <c r="D301" s="2" t="s">
        <v>898</v>
      </c>
      <c r="E301" s="2" t="s">
        <v>1196</v>
      </c>
      <c r="F301" s="2" t="s">
        <v>1197</v>
      </c>
      <c r="G301" s="2" t="s">
        <v>2379</v>
      </c>
      <c r="H301" s="2" t="s">
        <v>1198</v>
      </c>
      <c r="I301" s="2"/>
      <c r="J301" s="2"/>
      <c r="K301" s="2" t="s">
        <v>2377</v>
      </c>
      <c r="L301" s="2"/>
      <c r="M301" s="2"/>
      <c r="N301" s="2"/>
      <c r="O301" s="2"/>
      <c r="P301" s="2"/>
      <c r="Q301" s="2"/>
      <c r="R301" s="2"/>
      <c r="S301" s="2"/>
      <c r="T301" s="2" t="s">
        <v>107</v>
      </c>
    </row>
  </sheetData>
  <autoFilter ref="A1:T301" xr:uid="{0A0FA07F-547F-410D-91FF-CFCECDCCF1E2}">
    <sortState xmlns:xlrd2="http://schemas.microsoft.com/office/spreadsheetml/2017/richdata2" ref="A2:T301">
      <sortCondition ref="C2:C301"/>
      <sortCondition ref="I2:I301"/>
      <sortCondition ref="J2:J301"/>
    </sortState>
  </autoFilter>
  <sortState xmlns:xlrd2="http://schemas.microsoft.com/office/spreadsheetml/2017/richdata2" ref="C2:T301">
    <sortCondition ref="C2:C301"/>
    <sortCondition ref="I2:I301"/>
    <sortCondition ref="J2:J3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AA61-8CF8-4A84-9307-800F5E2C7D26}">
  <sheetPr filterMode="1"/>
  <dimension ref="A1:T563"/>
  <sheetViews>
    <sheetView tabSelected="1" workbookViewId="0">
      <pane ySplit="1" topLeftCell="A213" activePane="bottomLeft" state="frozen"/>
      <selection pane="bottomLeft" activeCell="A551" sqref="A551"/>
    </sheetView>
  </sheetViews>
  <sheetFormatPr baseColWidth="10" defaultColWidth="11.28515625" defaultRowHeight="15" x14ac:dyDescent="0.25"/>
  <cols>
    <col min="1" max="1" width="22.85546875" style="1" bestFit="1" customWidth="1"/>
    <col min="2" max="2" width="19.7109375" style="1" bestFit="1" customWidth="1"/>
    <col min="3" max="3" width="9.5703125" style="1" bestFit="1" customWidth="1"/>
    <col min="4" max="4" width="11.28515625" style="1"/>
    <col min="5" max="5" width="16.85546875" style="1" bestFit="1" customWidth="1"/>
    <col min="6" max="6" width="18.7109375" style="1" bestFit="1" customWidth="1"/>
    <col min="7" max="7" width="13.28515625" style="1" bestFit="1" customWidth="1"/>
    <col min="8" max="8" width="20.7109375" style="1" bestFit="1" customWidth="1"/>
    <col min="9" max="9" width="15.85546875" style="1" bestFit="1" customWidth="1"/>
    <col min="10" max="10" width="15" style="1" bestFit="1" customWidth="1"/>
    <col min="11" max="11" width="13.28515625" style="1" bestFit="1" customWidth="1"/>
    <col min="12" max="12" width="19" style="1" bestFit="1" customWidth="1"/>
    <col min="13" max="13" width="18" style="1" bestFit="1" customWidth="1"/>
    <col min="14" max="14" width="25.5703125" style="1" bestFit="1" customWidth="1"/>
    <col min="15" max="15" width="24.7109375" style="1" bestFit="1" customWidth="1"/>
    <col min="16" max="16" width="27.28515625" style="1" bestFit="1" customWidth="1"/>
    <col min="17" max="17" width="26.42578125" style="1" bestFit="1" customWidth="1"/>
    <col min="18" max="18" width="13.85546875" style="1" bestFit="1" customWidth="1"/>
    <col min="19" max="19" width="15.28515625" style="1" bestFit="1" customWidth="1"/>
    <col min="20" max="20" width="11" style="1" bestFit="1" customWidth="1"/>
    <col min="21" max="16384" width="11.28515625" style="1"/>
  </cols>
  <sheetData>
    <row r="1" spans="1:20" x14ac:dyDescent="0.25">
      <c r="A1" s="3" t="s">
        <v>2637</v>
      </c>
      <c r="C1" s="1" t="s">
        <v>1293</v>
      </c>
      <c r="D1" s="1" t="s">
        <v>841</v>
      </c>
      <c r="E1" s="1" t="s">
        <v>1294</v>
      </c>
      <c r="F1" s="1" t="s">
        <v>1295</v>
      </c>
      <c r="G1" s="1" t="s">
        <v>1296</v>
      </c>
      <c r="H1" s="1" t="s">
        <v>1297</v>
      </c>
      <c r="I1" s="1" t="s">
        <v>1298</v>
      </c>
      <c r="J1" s="1" t="s">
        <v>1299</v>
      </c>
      <c r="K1" s="1" t="s">
        <v>1296</v>
      </c>
      <c r="L1" s="1" t="s">
        <v>1300</v>
      </c>
      <c r="M1" s="1" t="s">
        <v>1301</v>
      </c>
      <c r="N1" s="1" t="s">
        <v>1302</v>
      </c>
      <c r="O1" s="1" t="s">
        <v>1303</v>
      </c>
      <c r="P1" s="1" t="s">
        <v>1304</v>
      </c>
      <c r="Q1" s="1" t="s">
        <v>1305</v>
      </c>
      <c r="R1" s="1" t="s">
        <v>1306</v>
      </c>
      <c r="S1" s="1" t="s">
        <v>1307</v>
      </c>
      <c r="T1" s="1" t="s">
        <v>1308</v>
      </c>
    </row>
    <row r="2" spans="1:20" hidden="1" x14ac:dyDescent="0.25">
      <c r="A2" t="str">
        <f>INDEX('Orig (V1_BCK)'!$C:$C,MATCH($B2,'Orig (V1_BCK)'!$C:$C,0),1)</f>
        <v>A0702288-A0702288-</v>
      </c>
      <c r="B2" s="3" t="str">
        <f>_xlfn.TEXTJOIN("-",FALSE,$C2,$I2,$J2)</f>
        <v>A0702288-A0702288-</v>
      </c>
      <c r="C2" s="2" t="s">
        <v>598</v>
      </c>
      <c r="D2" s="2" t="s">
        <v>599</v>
      </c>
      <c r="E2" s="2" t="s">
        <v>600</v>
      </c>
      <c r="F2" s="2" t="s">
        <v>8</v>
      </c>
      <c r="G2" s="2" t="s">
        <v>2147</v>
      </c>
      <c r="H2" s="2" t="s">
        <v>601</v>
      </c>
      <c r="I2" s="2" t="s">
        <v>598</v>
      </c>
      <c r="J2" s="2"/>
      <c r="K2" s="2" t="s">
        <v>2148</v>
      </c>
      <c r="L2" s="2" t="s">
        <v>599</v>
      </c>
      <c r="M2" s="2"/>
      <c r="N2" s="2" t="s">
        <v>600</v>
      </c>
      <c r="O2" s="2"/>
      <c r="P2" s="2" t="s">
        <v>8</v>
      </c>
      <c r="Q2" s="2"/>
      <c r="R2" s="2"/>
      <c r="S2" s="2"/>
      <c r="T2" s="2" t="s">
        <v>2038</v>
      </c>
    </row>
    <row r="3" spans="1:20" ht="30" hidden="1" x14ac:dyDescent="0.25">
      <c r="A3" t="e">
        <f>INDEX('Orig (V1_BCK)'!$C:$C,MATCH($B3,'Orig (V1_BCK)'!$C:$C,0),1)</f>
        <v>#N/A</v>
      </c>
      <c r="B3" s="3" t="str">
        <f t="shared" ref="B3:B66" si="0">_xlfn.TEXTJOIN("-",FALSE,$C3,$I3,$J3)</f>
        <v>A0766752--</v>
      </c>
      <c r="C3" s="2" t="s">
        <v>1937</v>
      </c>
      <c r="D3" s="2" t="s">
        <v>1938</v>
      </c>
      <c r="E3" s="2" t="s">
        <v>557</v>
      </c>
      <c r="F3" s="2" t="s">
        <v>1939</v>
      </c>
      <c r="G3" s="2" t="s">
        <v>2603</v>
      </c>
      <c r="H3" s="2" t="s">
        <v>1940</v>
      </c>
      <c r="I3" s="2"/>
      <c r="J3" s="2"/>
      <c r="K3" s="2" t="s">
        <v>1312</v>
      </c>
      <c r="L3" s="2"/>
      <c r="M3" s="2"/>
      <c r="N3" s="2"/>
      <c r="O3" s="2"/>
      <c r="P3" s="2"/>
      <c r="Q3" s="2"/>
      <c r="R3" s="2"/>
      <c r="S3" s="2"/>
      <c r="T3" s="2" t="s">
        <v>1583</v>
      </c>
    </row>
    <row r="4" spans="1:20" ht="30" hidden="1" x14ac:dyDescent="0.25">
      <c r="A4" t="e">
        <f>INDEX('Orig (V1_BCK)'!$C:$C,MATCH($B4,'Orig (V1_BCK)'!$C:$C,0),1)</f>
        <v>#N/A</v>
      </c>
      <c r="B4" s="3" t="str">
        <f t="shared" si="0"/>
        <v>A0835861--</v>
      </c>
      <c r="C4" s="2" t="s">
        <v>1980</v>
      </c>
      <c r="D4" s="2" t="s">
        <v>933</v>
      </c>
      <c r="E4" s="2" t="s">
        <v>74</v>
      </c>
      <c r="F4" s="2" t="s">
        <v>1329</v>
      </c>
      <c r="G4" s="2" t="s">
        <v>2616</v>
      </c>
      <c r="H4" s="2" t="s">
        <v>1981</v>
      </c>
      <c r="I4" s="2"/>
      <c r="J4" s="2"/>
      <c r="K4" s="2" t="s">
        <v>1312</v>
      </c>
      <c r="L4" s="2"/>
      <c r="M4" s="2"/>
      <c r="N4" s="2"/>
      <c r="O4" s="2"/>
      <c r="P4" s="2"/>
      <c r="Q4" s="2"/>
      <c r="R4" s="2"/>
      <c r="S4" s="2"/>
      <c r="T4" s="2" t="s">
        <v>2080</v>
      </c>
    </row>
    <row r="5" spans="1:20" hidden="1" x14ac:dyDescent="0.25">
      <c r="A5" t="str">
        <f>INDEX('Orig (V1_BCK)'!$C:$C,MATCH($B5,'Orig (V1_BCK)'!$C:$C,0),1)</f>
        <v>A1137670--G3229318</v>
      </c>
      <c r="B5" s="3" t="str">
        <f t="shared" si="0"/>
        <v>A1137670--G3229318</v>
      </c>
      <c r="C5" s="2" t="s">
        <v>942</v>
      </c>
      <c r="D5" s="2" t="s">
        <v>68</v>
      </c>
      <c r="E5" s="2" t="s">
        <v>44</v>
      </c>
      <c r="F5" s="2" t="s">
        <v>943</v>
      </c>
      <c r="G5" s="2" t="s">
        <v>2269</v>
      </c>
      <c r="H5" s="2" t="s">
        <v>944</v>
      </c>
      <c r="I5" s="2"/>
      <c r="J5" s="2" t="s">
        <v>791</v>
      </c>
      <c r="K5" s="2" t="s">
        <v>2219</v>
      </c>
      <c r="L5" s="2"/>
      <c r="M5" s="2" t="s">
        <v>524</v>
      </c>
      <c r="N5" s="2"/>
      <c r="O5" s="2" t="s">
        <v>792</v>
      </c>
      <c r="P5" s="2"/>
      <c r="Q5" s="2" t="s">
        <v>793</v>
      </c>
      <c r="R5" s="2"/>
      <c r="S5" s="2"/>
      <c r="T5" s="2" t="s">
        <v>2046</v>
      </c>
    </row>
    <row r="6" spans="1:20" ht="45" hidden="1" x14ac:dyDescent="0.25">
      <c r="A6" t="e">
        <f>INDEX('Orig (V1_BCK)'!$C:$C,MATCH($B6,'Orig (V1_BCK)'!$C:$C,0),1)</f>
        <v>#N/A</v>
      </c>
      <c r="B6" s="3" t="str">
        <f t="shared" si="0"/>
        <v>A1203204--</v>
      </c>
      <c r="C6" s="2" t="s">
        <v>1858</v>
      </c>
      <c r="D6" s="2" t="s">
        <v>1859</v>
      </c>
      <c r="E6" s="2" t="s">
        <v>1860</v>
      </c>
      <c r="F6" s="2" t="s">
        <v>1861</v>
      </c>
      <c r="G6" s="2" t="s">
        <v>2581</v>
      </c>
      <c r="H6" s="2" t="s">
        <v>1862</v>
      </c>
      <c r="I6" s="2"/>
      <c r="J6" s="2"/>
      <c r="K6" s="2" t="s">
        <v>1312</v>
      </c>
      <c r="L6" s="2"/>
      <c r="M6" s="2"/>
      <c r="N6" s="2"/>
      <c r="O6" s="2"/>
      <c r="P6" s="2"/>
      <c r="Q6" s="2"/>
      <c r="R6" s="2"/>
      <c r="S6" s="2"/>
      <c r="T6" s="2" t="s">
        <v>2041</v>
      </c>
    </row>
    <row r="7" spans="1:20" hidden="1" x14ac:dyDescent="0.25">
      <c r="A7" t="str">
        <f>INDEX('Orig (V1_BCK)'!$C:$C,MATCH($B7,'Orig (V1_BCK)'!$C:$C,0),1)</f>
        <v>A1692880-A1692880-</v>
      </c>
      <c r="B7" s="3" t="str">
        <f t="shared" si="0"/>
        <v>A1692880-A1692880-</v>
      </c>
      <c r="C7" s="2" t="s">
        <v>602</v>
      </c>
      <c r="D7" s="2" t="s">
        <v>68</v>
      </c>
      <c r="E7" s="2" t="s">
        <v>603</v>
      </c>
      <c r="F7" s="2" t="s">
        <v>604</v>
      </c>
      <c r="G7" s="2" t="s">
        <v>2149</v>
      </c>
      <c r="H7" s="2" t="s">
        <v>605</v>
      </c>
      <c r="I7" s="2" t="s">
        <v>602</v>
      </c>
      <c r="J7" s="2"/>
      <c r="K7" s="2" t="s">
        <v>2150</v>
      </c>
      <c r="L7" s="2" t="s">
        <v>68</v>
      </c>
      <c r="M7" s="2"/>
      <c r="N7" s="2" t="s">
        <v>603</v>
      </c>
      <c r="O7" s="2"/>
      <c r="P7" s="2" t="s">
        <v>604</v>
      </c>
      <c r="Q7" s="2"/>
      <c r="R7" s="2"/>
      <c r="S7" s="2"/>
      <c r="T7" s="2" t="s">
        <v>47</v>
      </c>
    </row>
    <row r="8" spans="1:20" hidden="1" x14ac:dyDescent="0.25">
      <c r="A8" t="str">
        <f>INDEX('Orig (V1_BCK)'!$C:$C,MATCH($B8,'Orig (V1_BCK)'!$C:$C,0),1)</f>
        <v>A1778775--I7600760</v>
      </c>
      <c r="B8" s="3" t="str">
        <f t="shared" si="0"/>
        <v>A1778775--I7600760</v>
      </c>
      <c r="C8" s="2" t="s">
        <v>1121</v>
      </c>
      <c r="D8" s="2" t="s">
        <v>68</v>
      </c>
      <c r="E8" s="2" t="s">
        <v>1005</v>
      </c>
      <c r="F8" s="2" t="s">
        <v>11</v>
      </c>
      <c r="G8" s="2" t="s">
        <v>2355</v>
      </c>
      <c r="H8" s="2" t="s">
        <v>2355</v>
      </c>
      <c r="I8" s="2"/>
      <c r="J8" s="2" t="s">
        <v>822</v>
      </c>
      <c r="K8" s="2" t="s">
        <v>2229</v>
      </c>
      <c r="L8" s="2"/>
      <c r="M8" s="2" t="s">
        <v>823</v>
      </c>
      <c r="N8" s="2"/>
      <c r="O8" s="2" t="s">
        <v>824</v>
      </c>
      <c r="P8" s="2"/>
      <c r="Q8" s="2" t="s">
        <v>825</v>
      </c>
      <c r="R8" s="2"/>
      <c r="S8" s="2"/>
      <c r="T8" s="2" t="s">
        <v>2083</v>
      </c>
    </row>
    <row r="9" spans="1:20" ht="45" hidden="1" x14ac:dyDescent="0.25">
      <c r="A9" t="e">
        <f>INDEX('Orig (V1_BCK)'!$C:$C,MATCH($B9,'Orig (V1_BCK)'!$C:$C,0),1)</f>
        <v>#N/A</v>
      </c>
      <c r="B9" s="3" t="str">
        <f t="shared" si="0"/>
        <v>A1894700--</v>
      </c>
      <c r="C9" s="2" t="s">
        <v>1484</v>
      </c>
      <c r="D9" s="2" t="s">
        <v>1485</v>
      </c>
      <c r="E9" s="2" t="s">
        <v>1486</v>
      </c>
      <c r="F9" s="2" t="s">
        <v>642</v>
      </c>
      <c r="G9" s="2" t="s">
        <v>2469</v>
      </c>
      <c r="H9" s="2" t="s">
        <v>1487</v>
      </c>
      <c r="I9" s="2"/>
      <c r="J9" s="2"/>
      <c r="K9" s="2" t="s">
        <v>1312</v>
      </c>
      <c r="L9" s="2"/>
      <c r="M9" s="2"/>
      <c r="N9" s="2"/>
      <c r="O9" s="2"/>
      <c r="P9" s="2"/>
      <c r="Q9" s="2"/>
      <c r="R9" s="2"/>
      <c r="S9" s="2"/>
      <c r="T9" s="2" t="s">
        <v>2397</v>
      </c>
    </row>
    <row r="10" spans="1:20" ht="30" hidden="1" x14ac:dyDescent="0.25">
      <c r="A10" t="str">
        <f>INDEX('Orig (V1_BCK)'!$C:$C,MATCH($B10,'Orig (V1_BCK)'!$C:$C,0),1)</f>
        <v>A1975872--J2161690</v>
      </c>
      <c r="B10" s="3" t="str">
        <f t="shared" si="0"/>
        <v>A1975872--J2161690</v>
      </c>
      <c r="C10" s="2" t="s">
        <v>466</v>
      </c>
      <c r="D10" s="2" t="s">
        <v>467</v>
      </c>
      <c r="E10" s="2" t="s">
        <v>11</v>
      </c>
      <c r="F10" s="2" t="s">
        <v>468</v>
      </c>
      <c r="G10" s="2" t="s">
        <v>2090</v>
      </c>
      <c r="H10" s="2" t="s">
        <v>469</v>
      </c>
      <c r="I10" s="2"/>
      <c r="J10" s="2" t="s">
        <v>470</v>
      </c>
      <c r="K10" s="2" t="s">
        <v>2091</v>
      </c>
      <c r="L10" s="2"/>
      <c r="M10" s="2" t="s">
        <v>458</v>
      </c>
      <c r="N10" s="2"/>
      <c r="O10" s="2" t="s">
        <v>8</v>
      </c>
      <c r="P10" s="2"/>
      <c r="Q10" s="2" t="s">
        <v>471</v>
      </c>
      <c r="R10" s="2"/>
      <c r="S10" s="2"/>
      <c r="T10" s="2" t="s">
        <v>2080</v>
      </c>
    </row>
    <row r="11" spans="1:20" hidden="1" x14ac:dyDescent="0.25">
      <c r="A11" t="str">
        <f>INDEX('Orig (V1_BCK)'!$C:$C,MATCH($B11,'Orig (V1_BCK)'!$C:$C,0),1)</f>
        <v>A2056971-A2056971-</v>
      </c>
      <c r="B11" s="3" t="str">
        <f t="shared" si="0"/>
        <v>A2056971-A2056971-</v>
      </c>
      <c r="C11" s="2" t="s">
        <v>1080</v>
      </c>
      <c r="D11" s="2" t="s">
        <v>758</v>
      </c>
      <c r="E11" s="2" t="s">
        <v>1081</v>
      </c>
      <c r="F11" s="2" t="s">
        <v>1082</v>
      </c>
      <c r="G11" s="2" t="s">
        <v>2338</v>
      </c>
      <c r="H11" s="2" t="s">
        <v>1083</v>
      </c>
      <c r="I11" s="2" t="s">
        <v>1080</v>
      </c>
      <c r="J11" s="2"/>
      <c r="K11" s="2" t="s">
        <v>2339</v>
      </c>
      <c r="L11" s="2" t="s">
        <v>758</v>
      </c>
      <c r="M11" s="2"/>
      <c r="N11" s="2" t="s">
        <v>1081</v>
      </c>
      <c r="O11" s="2"/>
      <c r="P11" s="2" t="s">
        <v>1082</v>
      </c>
      <c r="Q11" s="2"/>
      <c r="R11" s="2"/>
      <c r="S11" s="2"/>
      <c r="T11" s="2" t="s">
        <v>2038</v>
      </c>
    </row>
    <row r="12" spans="1:20" hidden="1" x14ac:dyDescent="0.25">
      <c r="A12" t="str">
        <f>INDEX('Orig (V1_BCK)'!$C:$C,MATCH($B12,'Orig (V1_BCK)'!$C:$C,0),1)</f>
        <v>A2422013-A2422013-</v>
      </c>
      <c r="B12" s="3" t="str">
        <f t="shared" si="0"/>
        <v>A2422013-A2422013-</v>
      </c>
      <c r="C12" s="2" t="s">
        <v>575</v>
      </c>
      <c r="D12" s="2" t="s">
        <v>576</v>
      </c>
      <c r="E12" s="2" t="s">
        <v>577</v>
      </c>
      <c r="F12" s="2" t="s">
        <v>578</v>
      </c>
      <c r="G12" s="2" t="s">
        <v>2138</v>
      </c>
      <c r="H12" s="2" t="s">
        <v>579</v>
      </c>
      <c r="I12" s="2" t="s">
        <v>575</v>
      </c>
      <c r="J12" s="2"/>
      <c r="K12" s="2" t="s">
        <v>2139</v>
      </c>
      <c r="L12" s="2" t="s">
        <v>576</v>
      </c>
      <c r="M12" s="2"/>
      <c r="N12" s="2" t="s">
        <v>577</v>
      </c>
      <c r="O12" s="2"/>
      <c r="P12" s="2" t="s">
        <v>578</v>
      </c>
      <c r="Q12" s="2"/>
      <c r="R12" s="2"/>
      <c r="S12" s="2"/>
      <c r="T12" s="2" t="s">
        <v>2083</v>
      </c>
    </row>
    <row r="13" spans="1:20" hidden="1" x14ac:dyDescent="0.25">
      <c r="A13" t="str">
        <f>INDEX('Orig (V1_BCK)'!$C:$C,MATCH($B13,'Orig (V1_BCK)'!$C:$C,0),1)</f>
        <v>A3127479-A3127479-</v>
      </c>
      <c r="B13" s="3" t="str">
        <f t="shared" si="0"/>
        <v>A3127479-A3127479-</v>
      </c>
      <c r="C13" s="2" t="s">
        <v>1059</v>
      </c>
      <c r="D13" s="2" t="s">
        <v>758</v>
      </c>
      <c r="E13" s="2" t="s">
        <v>44</v>
      </c>
      <c r="F13" s="2" t="s">
        <v>1060</v>
      </c>
      <c r="G13" s="2" t="s">
        <v>2328</v>
      </c>
      <c r="H13" s="2" t="s">
        <v>1061</v>
      </c>
      <c r="I13" s="2" t="s">
        <v>1059</v>
      </c>
      <c r="J13" s="2"/>
      <c r="K13" s="2" t="s">
        <v>2329</v>
      </c>
      <c r="L13" s="2" t="s">
        <v>758</v>
      </c>
      <c r="M13" s="2"/>
      <c r="N13" s="2" t="s">
        <v>44</v>
      </c>
      <c r="O13" s="2"/>
      <c r="P13" s="2" t="s">
        <v>1060</v>
      </c>
      <c r="Q13" s="2"/>
      <c r="R13" s="2"/>
      <c r="S13" s="2"/>
      <c r="T13" s="2" t="s">
        <v>2071</v>
      </c>
    </row>
    <row r="14" spans="1:20" ht="30" hidden="1" x14ac:dyDescent="0.25">
      <c r="A14" t="e">
        <f>INDEX('Orig (V1_BCK)'!$C:$C,MATCH($B14,'Orig (V1_BCK)'!$C:$C,0),1)</f>
        <v>#N/A</v>
      </c>
      <c r="B14" s="3" t="str">
        <f t="shared" si="0"/>
        <v>A3134550--</v>
      </c>
      <c r="C14" s="2" t="s">
        <v>1676</v>
      </c>
      <c r="D14" s="2" t="s">
        <v>1677</v>
      </c>
      <c r="E14" s="2" t="s">
        <v>1678</v>
      </c>
      <c r="F14" s="2" t="s">
        <v>1679</v>
      </c>
      <c r="G14" s="2" t="s">
        <v>2525</v>
      </c>
      <c r="H14" s="2" t="s">
        <v>1650</v>
      </c>
      <c r="I14" s="2"/>
      <c r="J14" s="2"/>
      <c r="K14" s="2" t="s">
        <v>1312</v>
      </c>
      <c r="L14" s="2"/>
      <c r="M14" s="2"/>
      <c r="N14" s="2"/>
      <c r="O14" s="2"/>
      <c r="P14" s="2"/>
      <c r="Q14" s="2"/>
      <c r="R14" s="2"/>
      <c r="S14" s="2"/>
      <c r="T14" s="2" t="s">
        <v>2439</v>
      </c>
    </row>
    <row r="15" spans="1:20" hidden="1" x14ac:dyDescent="0.25">
      <c r="A15" t="str">
        <f>INDEX('Orig (V1_BCK)'!$C:$C,MATCH($B15,'Orig (V1_BCK)'!$C:$C,0),1)</f>
        <v>A3167958-A3167958-</v>
      </c>
      <c r="B15" s="3" t="str">
        <f t="shared" si="0"/>
        <v>A3167958-A3167958-</v>
      </c>
      <c r="C15" s="2" t="s">
        <v>640</v>
      </c>
      <c r="D15" s="2" t="s">
        <v>68</v>
      </c>
      <c r="E15" s="2" t="s">
        <v>549</v>
      </c>
      <c r="F15" s="2" t="s">
        <v>12</v>
      </c>
      <c r="G15" s="2" t="s">
        <v>2163</v>
      </c>
      <c r="H15" s="2" t="s">
        <v>767</v>
      </c>
      <c r="I15" s="2" t="s">
        <v>640</v>
      </c>
      <c r="J15" s="2"/>
      <c r="K15" s="2" t="s">
        <v>2210</v>
      </c>
      <c r="L15" s="2" t="s">
        <v>68</v>
      </c>
      <c r="M15" s="2"/>
      <c r="N15" s="2" t="s">
        <v>549</v>
      </c>
      <c r="O15" s="2"/>
      <c r="P15" s="2" t="s">
        <v>12</v>
      </c>
      <c r="Q15" s="2"/>
      <c r="R15" s="2"/>
      <c r="S15" s="2"/>
      <c r="T15" s="2" t="s">
        <v>2083</v>
      </c>
    </row>
    <row r="16" spans="1:20" ht="30" hidden="1" x14ac:dyDescent="0.25">
      <c r="A16" t="str">
        <f>INDEX('Orig (V1_BCK)'!$C:$C,MATCH($B16,'Orig (V1_BCK)'!$C:$C,0),1)</f>
        <v>A3258905-A3258905-</v>
      </c>
      <c r="B16" s="3" t="str">
        <f t="shared" si="0"/>
        <v>A3258905-A3258905-</v>
      </c>
      <c r="C16" s="2" t="s">
        <v>871</v>
      </c>
      <c r="D16" s="2" t="s">
        <v>467</v>
      </c>
      <c r="E16" s="2" t="s">
        <v>872</v>
      </c>
      <c r="F16" s="2" t="s">
        <v>873</v>
      </c>
      <c r="G16" s="2" t="s">
        <v>2241</v>
      </c>
      <c r="H16" s="2" t="s">
        <v>874</v>
      </c>
      <c r="I16" s="2" t="s">
        <v>871</v>
      </c>
      <c r="J16" s="2"/>
      <c r="K16" s="2" t="s">
        <v>2242</v>
      </c>
      <c r="L16" s="2" t="s">
        <v>467</v>
      </c>
      <c r="M16" s="2"/>
      <c r="N16" s="2" t="s">
        <v>872</v>
      </c>
      <c r="O16" s="2"/>
      <c r="P16" s="2" t="s">
        <v>873</v>
      </c>
      <c r="Q16" s="2"/>
      <c r="R16" s="2"/>
      <c r="S16" s="2"/>
      <c r="T16" s="2" t="s">
        <v>2080</v>
      </c>
    </row>
    <row r="17" spans="1:20" ht="30" hidden="1" x14ac:dyDescent="0.25">
      <c r="A17" t="str">
        <f>INDEX('Orig (V1_BCK)'!$C:$C,MATCH($B17,'Orig (V1_BCK)'!$C:$C,0),1)</f>
        <v>A3284599-A3284599-</v>
      </c>
      <c r="B17" s="3" t="str">
        <f t="shared" si="0"/>
        <v>A3284599-A3284599-</v>
      </c>
      <c r="C17" s="2" t="s">
        <v>951</v>
      </c>
      <c r="D17" s="2" t="s">
        <v>952</v>
      </c>
      <c r="E17" s="2" t="s">
        <v>695</v>
      </c>
      <c r="F17" s="2" t="s">
        <v>700</v>
      </c>
      <c r="G17" s="2" t="s">
        <v>2273</v>
      </c>
      <c r="H17" s="2" t="s">
        <v>953</v>
      </c>
      <c r="I17" s="2" t="s">
        <v>951</v>
      </c>
      <c r="J17" s="2"/>
      <c r="K17" s="2" t="s">
        <v>2274</v>
      </c>
      <c r="L17" s="2" t="s">
        <v>952</v>
      </c>
      <c r="M17" s="2"/>
      <c r="N17" s="2" t="s">
        <v>695</v>
      </c>
      <c r="O17" s="2"/>
      <c r="P17" s="2" t="s">
        <v>700</v>
      </c>
      <c r="Q17" s="2"/>
      <c r="R17" s="2"/>
      <c r="S17" s="2"/>
      <c r="T17" s="2" t="s">
        <v>2038</v>
      </c>
    </row>
    <row r="18" spans="1:20" ht="30" hidden="1" x14ac:dyDescent="0.25">
      <c r="A18" t="str">
        <f>INDEX('Orig (V1_BCK)'!$C:$C,MATCH($B18,'Orig (V1_BCK)'!$C:$C,0),1)</f>
        <v>A3417212-A3417212-</v>
      </c>
      <c r="B18" s="3" t="str">
        <f t="shared" si="0"/>
        <v>A3417212-A3417212-</v>
      </c>
      <c r="C18" s="2" t="s">
        <v>884</v>
      </c>
      <c r="D18" s="2" t="s">
        <v>758</v>
      </c>
      <c r="E18" s="2" t="s">
        <v>44</v>
      </c>
      <c r="F18" s="2" t="s">
        <v>861</v>
      </c>
      <c r="G18" s="2" t="s">
        <v>2246</v>
      </c>
      <c r="H18" s="2" t="s">
        <v>885</v>
      </c>
      <c r="I18" s="2" t="s">
        <v>884</v>
      </c>
      <c r="J18" s="2"/>
      <c r="K18" s="2" t="s">
        <v>2247</v>
      </c>
      <c r="L18" s="2" t="s">
        <v>758</v>
      </c>
      <c r="M18" s="2"/>
      <c r="N18" s="2" t="s">
        <v>44</v>
      </c>
      <c r="O18" s="2"/>
      <c r="P18" s="2" t="s">
        <v>861</v>
      </c>
      <c r="Q18" s="2"/>
      <c r="R18" s="2"/>
      <c r="S18" s="2"/>
      <c r="T18" s="2" t="s">
        <v>2080</v>
      </c>
    </row>
    <row r="19" spans="1:20" hidden="1" x14ac:dyDescent="0.25">
      <c r="A19" t="str">
        <f>INDEX('Orig (V1_BCK)'!$C:$C,MATCH($B19,'Orig (V1_BCK)'!$C:$C,0),1)</f>
        <v>A3485213-A3485213-</v>
      </c>
      <c r="B19" s="3" t="str">
        <f t="shared" si="0"/>
        <v>A3485213-A3485213-</v>
      </c>
      <c r="C19" s="2" t="s">
        <v>685</v>
      </c>
      <c r="D19" s="2" t="s">
        <v>1</v>
      </c>
      <c r="E19" s="2" t="s">
        <v>686</v>
      </c>
      <c r="F19" s="2" t="s">
        <v>687</v>
      </c>
      <c r="G19" s="2" t="s">
        <v>2178</v>
      </c>
      <c r="H19" s="2" t="s">
        <v>688</v>
      </c>
      <c r="I19" s="2" t="s">
        <v>685</v>
      </c>
      <c r="J19" s="2"/>
      <c r="K19" s="2" t="s">
        <v>2179</v>
      </c>
      <c r="L19" s="2" t="s">
        <v>1</v>
      </c>
      <c r="M19" s="2"/>
      <c r="N19" s="2" t="s">
        <v>686</v>
      </c>
      <c r="O19" s="2"/>
      <c r="P19" s="2" t="s">
        <v>687</v>
      </c>
      <c r="Q19" s="2"/>
      <c r="R19" s="2"/>
      <c r="S19" s="2"/>
      <c r="T19" s="2" t="s">
        <v>2038</v>
      </c>
    </row>
    <row r="20" spans="1:20" hidden="1" x14ac:dyDescent="0.25">
      <c r="A20" t="str">
        <f>INDEX('Orig (V1_BCK)'!$C:$C,MATCH($B20,'Orig (V1_BCK)'!$C:$C,0),1)</f>
        <v>A3575764--J6399199</v>
      </c>
      <c r="B20" s="3" t="str">
        <f t="shared" si="0"/>
        <v>A3575764--J6399199</v>
      </c>
      <c r="C20" s="2" t="s">
        <v>676</v>
      </c>
      <c r="D20" s="2" t="s">
        <v>68</v>
      </c>
      <c r="E20" s="2" t="s">
        <v>677</v>
      </c>
      <c r="F20" s="2" t="s">
        <v>677</v>
      </c>
      <c r="G20" s="2" t="s">
        <v>2175</v>
      </c>
      <c r="H20" s="2" t="s">
        <v>972</v>
      </c>
      <c r="I20" s="2"/>
      <c r="J20" s="2" t="s">
        <v>775</v>
      </c>
      <c r="K20" s="2" t="s">
        <v>2213</v>
      </c>
      <c r="L20" s="2"/>
      <c r="M20" s="2" t="s">
        <v>776</v>
      </c>
      <c r="N20" s="2"/>
      <c r="O20" s="2" t="s">
        <v>777</v>
      </c>
      <c r="P20" s="2"/>
      <c r="Q20" s="2" t="s">
        <v>778</v>
      </c>
      <c r="R20" s="2"/>
      <c r="S20" s="2"/>
      <c r="T20" s="2" t="s">
        <v>2083</v>
      </c>
    </row>
    <row r="21" spans="1:20" ht="45" hidden="1" x14ac:dyDescent="0.25">
      <c r="A21" t="e">
        <f>INDEX('Orig (V1_BCK)'!$C:$C,MATCH($B21,'Orig (V1_BCK)'!$C:$C,0),1)</f>
        <v>#N/A</v>
      </c>
      <c r="B21" s="3" t="str">
        <f t="shared" si="0"/>
        <v>A4034881--</v>
      </c>
      <c r="C21" s="2" t="s">
        <v>1466</v>
      </c>
      <c r="D21" s="2" t="s">
        <v>912</v>
      </c>
      <c r="E21" s="2" t="s">
        <v>44</v>
      </c>
      <c r="F21" s="2" t="s">
        <v>44</v>
      </c>
      <c r="G21" s="2" t="s">
        <v>2462</v>
      </c>
      <c r="H21" s="2" t="s">
        <v>1467</v>
      </c>
      <c r="I21" s="2"/>
      <c r="J21" s="2"/>
      <c r="K21" s="2" t="s">
        <v>1312</v>
      </c>
      <c r="L21" s="2"/>
      <c r="M21" s="2"/>
      <c r="N21" s="2"/>
      <c r="O21" s="2"/>
      <c r="P21" s="2"/>
      <c r="Q21" s="2"/>
      <c r="R21" s="2"/>
      <c r="S21" s="2"/>
      <c r="T21" s="2" t="s">
        <v>2041</v>
      </c>
    </row>
    <row r="22" spans="1:20" ht="45" hidden="1" x14ac:dyDescent="0.25">
      <c r="A22" t="e">
        <f>INDEX('Orig (V1_BCK)'!$C:$C,MATCH($B22,'Orig (V1_BCK)'!$C:$C,0),1)</f>
        <v>#N/A</v>
      </c>
      <c r="B22" s="3" t="str">
        <f t="shared" si="0"/>
        <v>A4061325--</v>
      </c>
      <c r="C22" s="2" t="s">
        <v>1710</v>
      </c>
      <c r="D22" s="2" t="s">
        <v>1711</v>
      </c>
      <c r="E22" s="2" t="s">
        <v>1712</v>
      </c>
      <c r="F22" s="2" t="s">
        <v>1713</v>
      </c>
      <c r="G22" s="2" t="s">
        <v>2536</v>
      </c>
      <c r="H22" s="2" t="s">
        <v>1714</v>
      </c>
      <c r="I22" s="2"/>
      <c r="J22" s="2"/>
      <c r="K22" s="2" t="s">
        <v>1312</v>
      </c>
      <c r="L22" s="2"/>
      <c r="M22" s="2"/>
      <c r="N22" s="2"/>
      <c r="O22" s="2"/>
      <c r="P22" s="2"/>
      <c r="Q22" s="2"/>
      <c r="R22" s="2"/>
      <c r="S22" s="2"/>
      <c r="T22" s="2" t="s">
        <v>2041</v>
      </c>
    </row>
    <row r="23" spans="1:20" ht="45" hidden="1" x14ac:dyDescent="0.25">
      <c r="A23" t="str">
        <f>INDEX('Orig (V1_BCK)'!$C:$C,MATCH($B23,'Orig (V1_BCK)'!$C:$C,0),1)</f>
        <v>A4260911-A4260911-</v>
      </c>
      <c r="B23" s="3" t="str">
        <f t="shared" si="0"/>
        <v>A4260911-A4260911-</v>
      </c>
      <c r="C23" s="2" t="s">
        <v>980</v>
      </c>
      <c r="D23" s="2" t="s">
        <v>981</v>
      </c>
      <c r="E23" s="2" t="s">
        <v>982</v>
      </c>
      <c r="F23" s="2" t="s">
        <v>983</v>
      </c>
      <c r="G23" s="2" t="s">
        <v>2288</v>
      </c>
      <c r="H23" s="2" t="s">
        <v>984</v>
      </c>
      <c r="I23" s="2" t="s">
        <v>980</v>
      </c>
      <c r="J23" s="2"/>
      <c r="K23" s="2" t="s">
        <v>2289</v>
      </c>
      <c r="L23" s="2" t="s">
        <v>981</v>
      </c>
      <c r="M23" s="2"/>
      <c r="N23" s="2" t="s">
        <v>982</v>
      </c>
      <c r="O23" s="2"/>
      <c r="P23" s="2" t="s">
        <v>983</v>
      </c>
      <c r="Q23" s="2"/>
      <c r="R23" s="2"/>
      <c r="S23" s="2"/>
      <c r="T23" s="2" t="s">
        <v>2038</v>
      </c>
    </row>
    <row r="24" spans="1:20" hidden="1" x14ac:dyDescent="0.25">
      <c r="A24" t="str">
        <f>INDEX('Orig (V1_BCK)'!$C:$C,MATCH($B24,'Orig (V1_BCK)'!$C:$C,0),1)</f>
        <v>A4544160--Y3223618</v>
      </c>
      <c r="B24" s="3" t="str">
        <f t="shared" si="0"/>
        <v>A4544160--Y3223618</v>
      </c>
      <c r="C24" s="2" t="s">
        <v>894</v>
      </c>
      <c r="D24" s="2" t="s">
        <v>68</v>
      </c>
      <c r="E24" s="2" t="s">
        <v>895</v>
      </c>
      <c r="F24" s="2" t="s">
        <v>896</v>
      </c>
      <c r="G24" s="2" t="s">
        <v>2251</v>
      </c>
      <c r="H24" s="2" t="s">
        <v>2251</v>
      </c>
      <c r="I24" s="2"/>
      <c r="J24" s="2" t="s">
        <v>897</v>
      </c>
      <c r="K24" s="2" t="s">
        <v>2252</v>
      </c>
      <c r="L24" s="2"/>
      <c r="M24" s="2" t="s">
        <v>898</v>
      </c>
      <c r="N24" s="2"/>
      <c r="O24" s="2" t="s">
        <v>899</v>
      </c>
      <c r="P24" s="2"/>
      <c r="Q24" s="2" t="s">
        <v>900</v>
      </c>
      <c r="R24" s="2"/>
      <c r="S24" s="2"/>
      <c r="T24" s="2" t="s">
        <v>2083</v>
      </c>
    </row>
    <row r="25" spans="1:20" s="7" customFormat="1" hidden="1" x14ac:dyDescent="0.25">
      <c r="A25" s="4" t="e">
        <f>INDEX('Orig (V1_BCK)'!$C:$C,MATCH($B25,'Orig (V1_BCK)'!$C:$C,0),1)</f>
        <v>#N/A</v>
      </c>
      <c r="B25" s="5" t="str">
        <f t="shared" si="0"/>
        <v>A4598195--</v>
      </c>
      <c r="C25" s="6" t="s">
        <v>814</v>
      </c>
      <c r="D25" s="6" t="s">
        <v>815</v>
      </c>
      <c r="E25" s="6" t="s">
        <v>816</v>
      </c>
      <c r="F25" s="6" t="s">
        <v>817</v>
      </c>
      <c r="G25" s="6" t="s">
        <v>2226</v>
      </c>
      <c r="H25" s="6" t="s">
        <v>818</v>
      </c>
      <c r="I25" s="6"/>
      <c r="J25" s="6"/>
      <c r="K25" s="6" t="s">
        <v>2227</v>
      </c>
      <c r="L25" s="6"/>
      <c r="M25" s="6"/>
      <c r="N25" s="6"/>
      <c r="O25" s="6"/>
      <c r="P25" s="6"/>
      <c r="Q25" s="6"/>
      <c r="R25" s="6"/>
      <c r="S25" s="6"/>
      <c r="T25" s="6" t="s">
        <v>2080</v>
      </c>
    </row>
    <row r="26" spans="1:20" ht="30" hidden="1" x14ac:dyDescent="0.25">
      <c r="A26" t="e">
        <f>INDEX('Orig (V1_BCK)'!$C:$C,MATCH($B26,'Orig (V1_BCK)'!$C:$C,0),1)</f>
        <v>#N/A</v>
      </c>
      <c r="B26" s="3" t="str">
        <f t="shared" si="0"/>
        <v>A4621755--</v>
      </c>
      <c r="C26" s="2" t="s">
        <v>757</v>
      </c>
      <c r="D26" s="2" t="s">
        <v>758</v>
      </c>
      <c r="E26" s="2" t="s">
        <v>759</v>
      </c>
      <c r="F26" s="2" t="s">
        <v>760</v>
      </c>
      <c r="G26" s="2" t="s">
        <v>2207</v>
      </c>
      <c r="H26" s="2" t="s">
        <v>1895</v>
      </c>
      <c r="I26" s="2"/>
      <c r="J26" s="2"/>
      <c r="K26" s="2" t="s">
        <v>1312</v>
      </c>
      <c r="L26" s="2"/>
      <c r="M26" s="2"/>
      <c r="N26" s="2"/>
      <c r="O26" s="2"/>
      <c r="P26" s="2"/>
      <c r="Q26" s="2"/>
      <c r="R26" s="2"/>
      <c r="S26" s="2"/>
      <c r="T26" s="2" t="s">
        <v>2038</v>
      </c>
    </row>
    <row r="27" spans="1:20" hidden="1" x14ac:dyDescent="0.25">
      <c r="A27" t="str">
        <f>INDEX('Orig (V1_BCK)'!$C:$C,MATCH($B27,'Orig (V1_BCK)'!$C:$C,0),1)</f>
        <v>A4769333--J1842217</v>
      </c>
      <c r="B27" s="3" t="str">
        <f t="shared" si="0"/>
        <v>A4769333--J1842217</v>
      </c>
      <c r="C27" s="2" t="s">
        <v>945</v>
      </c>
      <c r="D27" s="2" t="s">
        <v>933</v>
      </c>
      <c r="E27" s="2" t="s">
        <v>21</v>
      </c>
      <c r="F27" s="2" t="s">
        <v>946</v>
      </c>
      <c r="G27" s="2" t="s">
        <v>2270</v>
      </c>
      <c r="H27" s="2" t="s">
        <v>613</v>
      </c>
      <c r="I27" s="2"/>
      <c r="J27" s="2" t="s">
        <v>457</v>
      </c>
      <c r="K27" s="2" t="s">
        <v>2087</v>
      </c>
      <c r="L27" s="2"/>
      <c r="M27" s="2" t="s">
        <v>458</v>
      </c>
      <c r="N27" s="2"/>
      <c r="O27" s="2" t="s">
        <v>459</v>
      </c>
      <c r="P27" s="2"/>
      <c r="Q27" s="2" t="s">
        <v>460</v>
      </c>
      <c r="R27" s="2"/>
      <c r="S27" s="2"/>
      <c r="T27" s="2" t="s">
        <v>2083</v>
      </c>
    </row>
    <row r="28" spans="1:20" s="7" customFormat="1" hidden="1" x14ac:dyDescent="0.25">
      <c r="A28" s="4" t="e">
        <f>INDEX('Orig (V1_BCK)'!$C:$C,MATCH($B28,'Orig (V1_BCK)'!$C:$C,0),1)</f>
        <v>#N/A</v>
      </c>
      <c r="B28" s="5" t="str">
        <f t="shared" si="0"/>
        <v>A5336853--</v>
      </c>
      <c r="C28" s="6" t="s">
        <v>67</v>
      </c>
      <c r="D28" s="6" t="s">
        <v>68</v>
      </c>
      <c r="E28" s="6" t="s">
        <v>69</v>
      </c>
      <c r="F28" s="6" t="s">
        <v>70</v>
      </c>
      <c r="G28" s="6" t="s">
        <v>2061</v>
      </c>
      <c r="H28" s="6" t="s">
        <v>71</v>
      </c>
      <c r="I28" s="6"/>
      <c r="J28" s="6"/>
      <c r="K28" s="6" t="s">
        <v>2062</v>
      </c>
      <c r="L28" s="6"/>
      <c r="M28" s="6"/>
      <c r="N28" s="6"/>
      <c r="O28" s="6"/>
      <c r="P28" s="6"/>
      <c r="Q28" s="6"/>
      <c r="R28" s="6"/>
      <c r="S28" s="6"/>
      <c r="T28" s="6" t="s">
        <v>47</v>
      </c>
    </row>
    <row r="29" spans="1:20" hidden="1" x14ac:dyDescent="0.25">
      <c r="A29" t="str">
        <f>INDEX('Orig (V1_BCK)'!$C:$C,MATCH($B29,'Orig (V1_BCK)'!$C:$C,0),1)</f>
        <v>A5358571-A5358571-</v>
      </c>
      <c r="B29" s="3" t="str">
        <f t="shared" si="0"/>
        <v>A5358571-A5358571-</v>
      </c>
      <c r="C29" s="2" t="s">
        <v>1055</v>
      </c>
      <c r="D29" s="2" t="s">
        <v>1056</v>
      </c>
      <c r="E29" s="2" t="s">
        <v>1057</v>
      </c>
      <c r="F29" s="2" t="s">
        <v>535</v>
      </c>
      <c r="G29" s="2" t="s">
        <v>2326</v>
      </c>
      <c r="H29" s="2" t="s">
        <v>1058</v>
      </c>
      <c r="I29" s="2" t="s">
        <v>1055</v>
      </c>
      <c r="J29" s="2"/>
      <c r="K29" s="2" t="s">
        <v>2327</v>
      </c>
      <c r="L29" s="2" t="s">
        <v>1056</v>
      </c>
      <c r="M29" s="2"/>
      <c r="N29" s="2" t="s">
        <v>1057</v>
      </c>
      <c r="O29" s="2"/>
      <c r="P29" s="2" t="s">
        <v>535</v>
      </c>
      <c r="Q29" s="2"/>
      <c r="R29" s="2"/>
      <c r="S29" s="2"/>
      <c r="T29" s="2" t="s">
        <v>2071</v>
      </c>
    </row>
    <row r="30" spans="1:20" hidden="1" x14ac:dyDescent="0.25">
      <c r="A30" t="e">
        <f>INDEX('Orig (V1_BCK)'!$C:$C,MATCH($B30,'Orig (V1_BCK)'!$C:$C,0),1)</f>
        <v>#N/A</v>
      </c>
      <c r="B30" s="3" t="str">
        <f t="shared" si="0"/>
        <v>A5549694--</v>
      </c>
      <c r="C30" s="2" t="s">
        <v>1680</v>
      </c>
      <c r="D30" s="2" t="s">
        <v>1681</v>
      </c>
      <c r="E30" s="2" t="s">
        <v>39</v>
      </c>
      <c r="F30" s="2" t="s">
        <v>1171</v>
      </c>
      <c r="G30" s="2" t="s">
        <v>2526</v>
      </c>
      <c r="H30" s="2" t="s">
        <v>2526</v>
      </c>
      <c r="I30" s="2"/>
      <c r="J30" s="2"/>
      <c r="K30" s="2" t="s">
        <v>1312</v>
      </c>
      <c r="L30" s="2"/>
      <c r="M30" s="2"/>
      <c r="N30" s="2"/>
      <c r="O30" s="2"/>
      <c r="P30" s="2"/>
      <c r="Q30" s="2"/>
      <c r="R30" s="2"/>
      <c r="S30" s="2"/>
      <c r="T30" s="2" t="s">
        <v>2038</v>
      </c>
    </row>
    <row r="31" spans="1:20" hidden="1" x14ac:dyDescent="0.25">
      <c r="A31" t="str">
        <f>INDEX('Orig (V1_BCK)'!$C:$C,MATCH($B31,'Orig (V1_BCK)'!$C:$C,0),1)</f>
        <v>A5709653-A5709653-</v>
      </c>
      <c r="B31" s="3" t="str">
        <f t="shared" si="0"/>
        <v>A5709653-A5709653-</v>
      </c>
      <c r="C31" s="2" t="s">
        <v>973</v>
      </c>
      <c r="D31" s="2" t="s">
        <v>68</v>
      </c>
      <c r="E31" s="2" t="s">
        <v>974</v>
      </c>
      <c r="F31" s="2" t="s">
        <v>975</v>
      </c>
      <c r="G31" s="2" t="s">
        <v>2284</v>
      </c>
      <c r="H31" s="2" t="s">
        <v>976</v>
      </c>
      <c r="I31" s="2" t="s">
        <v>973</v>
      </c>
      <c r="J31" s="2"/>
      <c r="K31" s="2" t="s">
        <v>2285</v>
      </c>
      <c r="L31" s="2" t="s">
        <v>68</v>
      </c>
      <c r="M31" s="2"/>
      <c r="N31" s="2" t="s">
        <v>974</v>
      </c>
      <c r="O31" s="2"/>
      <c r="P31" s="2" t="s">
        <v>975</v>
      </c>
      <c r="Q31" s="2"/>
      <c r="R31" s="2"/>
      <c r="S31" s="2"/>
      <c r="T31" s="2" t="s">
        <v>2038</v>
      </c>
    </row>
    <row r="32" spans="1:20" ht="45" hidden="1" x14ac:dyDescent="0.25">
      <c r="A32" t="e">
        <f>INDEX('Orig (V1_BCK)'!$C:$C,MATCH($B32,'Orig (V1_BCK)'!$C:$C,0),1)</f>
        <v>#N/A</v>
      </c>
      <c r="B32" s="3" t="str">
        <f t="shared" si="0"/>
        <v>A5743478--</v>
      </c>
      <c r="C32" s="2" t="s">
        <v>1830</v>
      </c>
      <c r="D32" s="2" t="s">
        <v>1</v>
      </c>
      <c r="E32" s="2" t="s">
        <v>683</v>
      </c>
      <c r="F32" s="2" t="s">
        <v>1831</v>
      </c>
      <c r="G32" s="2" t="s">
        <v>2570</v>
      </c>
      <c r="H32" s="2" t="s">
        <v>1832</v>
      </c>
      <c r="I32" s="2"/>
      <c r="J32" s="2"/>
      <c r="K32" s="2" t="s">
        <v>1312</v>
      </c>
      <c r="L32" s="2"/>
      <c r="M32" s="2"/>
      <c r="N32" s="2"/>
      <c r="O32" s="2"/>
      <c r="P32" s="2"/>
      <c r="Q32" s="2"/>
      <c r="R32" s="2"/>
      <c r="S32" s="2"/>
      <c r="T32" s="2" t="s">
        <v>2041</v>
      </c>
    </row>
    <row r="33" spans="1:20" ht="45" hidden="1" x14ac:dyDescent="0.25">
      <c r="A33" t="e">
        <f>INDEX('Orig (V1_BCK)'!$C:$C,MATCH($B33,'Orig (V1_BCK)'!$C:$C,0),1)</f>
        <v>#N/A</v>
      </c>
      <c r="B33" s="3" t="str">
        <f t="shared" si="0"/>
        <v>A5749070--</v>
      </c>
      <c r="C33" s="2" t="s">
        <v>1691</v>
      </c>
      <c r="D33" s="2" t="s">
        <v>1692</v>
      </c>
      <c r="E33" s="2" t="s">
        <v>1693</v>
      </c>
      <c r="F33" s="2" t="s">
        <v>1694</v>
      </c>
      <c r="G33" s="2" t="s">
        <v>2530</v>
      </c>
      <c r="H33" s="2" t="s">
        <v>1695</v>
      </c>
      <c r="I33" s="2"/>
      <c r="J33" s="2"/>
      <c r="K33" s="2" t="s">
        <v>1312</v>
      </c>
      <c r="L33" s="2"/>
      <c r="M33" s="2"/>
      <c r="N33" s="2"/>
      <c r="O33" s="2"/>
      <c r="P33" s="2"/>
      <c r="Q33" s="2"/>
      <c r="R33" s="2"/>
      <c r="S33" s="2"/>
      <c r="T33" s="2" t="s">
        <v>107</v>
      </c>
    </row>
    <row r="34" spans="1:20" ht="30" hidden="1" x14ac:dyDescent="0.25">
      <c r="A34" t="e">
        <f>INDEX('Orig (V1_BCK)'!$C:$C,MATCH($B34,'Orig (V1_BCK)'!$C:$C,0),1)</f>
        <v>#N/A</v>
      </c>
      <c r="B34" s="3" t="str">
        <f t="shared" si="0"/>
        <v>A5895481--</v>
      </c>
      <c r="C34" s="2" t="s">
        <v>1235</v>
      </c>
      <c r="D34" s="2" t="s">
        <v>1236</v>
      </c>
      <c r="E34" s="2" t="s">
        <v>463</v>
      </c>
      <c r="F34" s="2" t="s">
        <v>463</v>
      </c>
      <c r="G34" s="2" t="s">
        <v>2481</v>
      </c>
      <c r="H34" s="2" t="s">
        <v>1522</v>
      </c>
      <c r="I34" s="2"/>
      <c r="J34" s="2"/>
      <c r="K34" s="2" t="s">
        <v>1312</v>
      </c>
      <c r="L34" s="2"/>
      <c r="M34" s="2"/>
      <c r="N34" s="2"/>
      <c r="O34" s="2"/>
      <c r="P34" s="2"/>
      <c r="Q34" s="2"/>
      <c r="R34" s="2"/>
      <c r="S34" s="2"/>
      <c r="T34" s="2" t="s">
        <v>2038</v>
      </c>
    </row>
    <row r="35" spans="1:20" hidden="1" x14ac:dyDescent="0.25">
      <c r="A35" t="e">
        <f>INDEX('Orig (V1_BCK)'!$C:$C,MATCH($B35,'Orig (V1_BCK)'!$C:$C,0),1)</f>
        <v>#N/A</v>
      </c>
      <c r="B35" s="3" t="str">
        <f t="shared" si="0"/>
        <v>A6120271--</v>
      </c>
      <c r="C35" s="2" t="s">
        <v>1477</v>
      </c>
      <c r="D35" s="2" t="s">
        <v>912</v>
      </c>
      <c r="E35" s="2" t="s">
        <v>1478</v>
      </c>
      <c r="F35" s="2" t="s">
        <v>1479</v>
      </c>
      <c r="G35" s="2" t="s">
        <v>2466</v>
      </c>
      <c r="H35" s="2" t="s">
        <v>1425</v>
      </c>
      <c r="I35" s="2"/>
      <c r="J35" s="2"/>
      <c r="K35" s="2" t="s">
        <v>1312</v>
      </c>
      <c r="L35" s="2"/>
      <c r="M35" s="2"/>
      <c r="N35" s="2"/>
      <c r="O35" s="2"/>
      <c r="P35" s="2"/>
      <c r="Q35" s="2"/>
      <c r="R35" s="2"/>
      <c r="S35" s="2"/>
      <c r="T35" s="2" t="s">
        <v>2080</v>
      </c>
    </row>
    <row r="36" spans="1:20" hidden="1" x14ac:dyDescent="0.25">
      <c r="A36" t="e">
        <f>INDEX('Orig (V1_BCK)'!$C:$C,MATCH($B36,'Orig (V1_BCK)'!$C:$C,0),1)</f>
        <v>#N/A</v>
      </c>
      <c r="B36" s="3" t="str">
        <f t="shared" si="0"/>
        <v>A6396628--</v>
      </c>
      <c r="C36" s="2" t="s">
        <v>1704</v>
      </c>
      <c r="D36" s="2" t="s">
        <v>68</v>
      </c>
      <c r="E36" s="2" t="s">
        <v>1705</v>
      </c>
      <c r="F36" s="2" t="s">
        <v>29</v>
      </c>
      <c r="G36" s="2" t="s">
        <v>2534</v>
      </c>
      <c r="H36" s="2" t="s">
        <v>1706</v>
      </c>
      <c r="I36" s="2"/>
      <c r="J36" s="2"/>
      <c r="K36" s="2" t="s">
        <v>1312</v>
      </c>
      <c r="L36" s="2"/>
      <c r="M36" s="2"/>
      <c r="N36" s="2"/>
      <c r="O36" s="2"/>
      <c r="P36" s="2"/>
      <c r="Q36" s="2"/>
      <c r="R36" s="2"/>
      <c r="S36" s="2"/>
      <c r="T36" s="2" t="s">
        <v>2375</v>
      </c>
    </row>
    <row r="37" spans="1:20" ht="30" hidden="1" x14ac:dyDescent="0.25">
      <c r="A37" t="str">
        <f>INDEX('Orig (V1_BCK)'!$C:$C,MATCH($B37,'Orig (V1_BCK)'!$C:$C,0),1)</f>
        <v>A6553191--F7796330</v>
      </c>
      <c r="B37" s="3" t="str">
        <f t="shared" si="0"/>
        <v>A6553191--F7796330</v>
      </c>
      <c r="C37" s="2" t="s">
        <v>1062</v>
      </c>
      <c r="D37" s="2" t="s">
        <v>1063</v>
      </c>
      <c r="E37" s="2" t="s">
        <v>1064</v>
      </c>
      <c r="F37" s="2" t="s">
        <v>691</v>
      </c>
      <c r="G37" s="2" t="s">
        <v>2330</v>
      </c>
      <c r="H37" s="2" t="s">
        <v>1065</v>
      </c>
      <c r="I37" s="2"/>
      <c r="J37" s="2" t="s">
        <v>527</v>
      </c>
      <c r="K37" s="2" t="s">
        <v>2117</v>
      </c>
      <c r="L37" s="2"/>
      <c r="M37" s="2" t="s">
        <v>38</v>
      </c>
      <c r="N37" s="2"/>
      <c r="O37" s="2" t="s">
        <v>528</v>
      </c>
      <c r="P37" s="2"/>
      <c r="Q37" s="2" t="s">
        <v>529</v>
      </c>
      <c r="R37" s="2"/>
      <c r="S37" s="2"/>
      <c r="T37" s="2" t="s">
        <v>2071</v>
      </c>
    </row>
    <row r="38" spans="1:20" ht="30" hidden="1" x14ac:dyDescent="0.25">
      <c r="A38" t="str">
        <f>INDEX('Orig (V1_BCK)'!$C:$C,MATCH($B38,'Orig (V1_BCK)'!$C:$C,0),1)</f>
        <v>A6556153-A6556153-</v>
      </c>
      <c r="B38" s="3" t="str">
        <f t="shared" si="0"/>
        <v>A6556153-A6556153-</v>
      </c>
      <c r="C38" s="2" t="s">
        <v>14</v>
      </c>
      <c r="D38" s="2" t="s">
        <v>15</v>
      </c>
      <c r="E38" s="2" t="s">
        <v>16</v>
      </c>
      <c r="F38" s="2" t="s">
        <v>17</v>
      </c>
      <c r="G38" s="2" t="s">
        <v>2040</v>
      </c>
      <c r="H38" s="2" t="s">
        <v>1003</v>
      </c>
      <c r="I38" s="2" t="s">
        <v>14</v>
      </c>
      <c r="J38" s="2"/>
      <c r="K38" s="2" t="s">
        <v>2298</v>
      </c>
      <c r="L38" s="2" t="s">
        <v>15</v>
      </c>
      <c r="M38" s="2"/>
      <c r="N38" s="2" t="s">
        <v>16</v>
      </c>
      <c r="O38" s="2"/>
      <c r="P38" s="2" t="s">
        <v>17</v>
      </c>
      <c r="Q38" s="2"/>
      <c r="R38" s="2"/>
      <c r="S38" s="2"/>
      <c r="T38" s="2" t="s">
        <v>2041</v>
      </c>
    </row>
    <row r="39" spans="1:20" ht="30" hidden="1" x14ac:dyDescent="0.25">
      <c r="A39" t="e">
        <f>INDEX('Orig (V1_BCK)'!$C:$C,MATCH($B39,'Orig (V1_BCK)'!$C:$C,0),1)</f>
        <v>#N/A</v>
      </c>
      <c r="B39" s="3" t="str">
        <f t="shared" si="0"/>
        <v>A6570134--</v>
      </c>
      <c r="C39" s="2" t="s">
        <v>1340</v>
      </c>
      <c r="D39" s="2" t="s">
        <v>68</v>
      </c>
      <c r="E39" s="2" t="s">
        <v>1341</v>
      </c>
      <c r="F39" s="2" t="s">
        <v>1342</v>
      </c>
      <c r="G39" s="2" t="s">
        <v>2422</v>
      </c>
      <c r="H39" s="2" t="s">
        <v>1343</v>
      </c>
      <c r="I39" s="2"/>
      <c r="J39" s="2"/>
      <c r="K39" s="2" t="s">
        <v>1312</v>
      </c>
      <c r="L39" s="2"/>
      <c r="M39" s="2"/>
      <c r="N39" s="2"/>
      <c r="O39" s="2"/>
      <c r="P39" s="2"/>
      <c r="Q39" s="2"/>
      <c r="R39" s="2"/>
      <c r="S39" s="2"/>
      <c r="T39" s="2" t="s">
        <v>2080</v>
      </c>
    </row>
    <row r="40" spans="1:20" ht="30" hidden="1" x14ac:dyDescent="0.25">
      <c r="A40" t="str">
        <f>INDEX('Orig (V1_BCK)'!$C:$C,MATCH($B40,'Orig (V1_BCK)'!$C:$C,0),1)</f>
        <v>A6653585-A6653585-</v>
      </c>
      <c r="B40" s="3" t="str">
        <f t="shared" si="0"/>
        <v>A6653585-A6653585-</v>
      </c>
      <c r="C40" s="2" t="s">
        <v>720</v>
      </c>
      <c r="D40" s="2" t="s">
        <v>68</v>
      </c>
      <c r="E40" s="2" t="s">
        <v>721</v>
      </c>
      <c r="F40" s="2" t="s">
        <v>722</v>
      </c>
      <c r="G40" s="2" t="s">
        <v>2192</v>
      </c>
      <c r="H40" s="2" t="s">
        <v>723</v>
      </c>
      <c r="I40" s="2" t="s">
        <v>720</v>
      </c>
      <c r="J40" s="2"/>
      <c r="K40" s="2" t="s">
        <v>2193</v>
      </c>
      <c r="L40" s="2" t="s">
        <v>68</v>
      </c>
      <c r="M40" s="2"/>
      <c r="N40" s="2" t="s">
        <v>721</v>
      </c>
      <c r="O40" s="2"/>
      <c r="P40" s="2" t="s">
        <v>722</v>
      </c>
      <c r="Q40" s="2"/>
      <c r="R40" s="2"/>
      <c r="S40" s="2"/>
      <c r="T40" s="2" t="s">
        <v>2038</v>
      </c>
    </row>
    <row r="41" spans="1:20" ht="30" hidden="1" x14ac:dyDescent="0.25">
      <c r="A41" t="str">
        <f>INDEX('Orig (V1_BCK)'!$C:$C,MATCH($B41,'Orig (V1_BCK)'!$C:$C,0),1)</f>
        <v>A6687307--R3817235</v>
      </c>
      <c r="B41" s="3" t="str">
        <f t="shared" si="0"/>
        <v>A6687307--R3817235</v>
      </c>
      <c r="C41" s="2" t="s">
        <v>927</v>
      </c>
      <c r="D41" s="2" t="s">
        <v>68</v>
      </c>
      <c r="E41" s="2" t="s">
        <v>504</v>
      </c>
      <c r="F41" s="2" t="s">
        <v>493</v>
      </c>
      <c r="G41" s="2" t="s">
        <v>2263</v>
      </c>
      <c r="H41" s="2" t="s">
        <v>928</v>
      </c>
      <c r="I41" s="2"/>
      <c r="J41" s="2" t="s">
        <v>929</v>
      </c>
      <c r="K41" s="2" t="s">
        <v>2264</v>
      </c>
      <c r="L41" s="2"/>
      <c r="M41" s="2" t="s">
        <v>930</v>
      </c>
      <c r="N41" s="2"/>
      <c r="O41" s="2" t="s">
        <v>622</v>
      </c>
      <c r="P41" s="2"/>
      <c r="Q41" s="2" t="s">
        <v>931</v>
      </c>
      <c r="R41" s="2"/>
      <c r="S41" s="2"/>
      <c r="T41" s="2" t="s">
        <v>2083</v>
      </c>
    </row>
    <row r="42" spans="1:20" hidden="1" x14ac:dyDescent="0.25">
      <c r="A42" t="str">
        <f>INDEX('Orig (V1_BCK)'!$C:$C,MATCH($B42,'Orig (V1_BCK)'!$C:$C,0),1)</f>
        <v>A7005471--J6399199</v>
      </c>
      <c r="B42" s="3" t="str">
        <f t="shared" si="0"/>
        <v>A7005471--J6399199</v>
      </c>
      <c r="C42" s="2" t="s">
        <v>780</v>
      </c>
      <c r="D42" s="2" t="s">
        <v>781</v>
      </c>
      <c r="E42" s="2" t="s">
        <v>493</v>
      </c>
      <c r="F42" s="2" t="s">
        <v>74</v>
      </c>
      <c r="G42" s="2" t="s">
        <v>2215</v>
      </c>
      <c r="H42" s="2" t="s">
        <v>693</v>
      </c>
      <c r="I42" s="2"/>
      <c r="J42" s="2" t="s">
        <v>775</v>
      </c>
      <c r="K42" s="2" t="s">
        <v>2213</v>
      </c>
      <c r="L42" s="2"/>
      <c r="M42" s="2" t="s">
        <v>776</v>
      </c>
      <c r="N42" s="2"/>
      <c r="O42" s="2" t="s">
        <v>777</v>
      </c>
      <c r="P42" s="2"/>
      <c r="Q42" s="2" t="s">
        <v>778</v>
      </c>
      <c r="R42" s="2"/>
      <c r="S42" s="2"/>
      <c r="T42" s="2" t="s">
        <v>2083</v>
      </c>
    </row>
    <row r="43" spans="1:20" hidden="1" x14ac:dyDescent="0.25">
      <c r="A43" t="e">
        <f>INDEX('Orig (V1_BCK)'!$C:$C,MATCH($B43,'Orig (V1_BCK)'!$C:$C,0),1)</f>
        <v>#N/A</v>
      </c>
      <c r="B43" s="3" t="str">
        <f t="shared" si="0"/>
        <v>A7121164--</v>
      </c>
      <c r="C43" s="2" t="s">
        <v>1649</v>
      </c>
      <c r="D43" s="2" t="s">
        <v>1395</v>
      </c>
      <c r="E43" s="2" t="s">
        <v>1409</v>
      </c>
      <c r="F43" s="2" t="s">
        <v>1038</v>
      </c>
      <c r="G43" s="2" t="s">
        <v>2517</v>
      </c>
      <c r="H43" s="2" t="s">
        <v>1650</v>
      </c>
      <c r="I43" s="2"/>
      <c r="J43" s="2"/>
      <c r="K43" s="2" t="s">
        <v>1312</v>
      </c>
      <c r="L43" s="2"/>
      <c r="M43" s="2"/>
      <c r="N43" s="2"/>
      <c r="O43" s="2"/>
      <c r="P43" s="2"/>
      <c r="Q43" s="2"/>
      <c r="R43" s="2"/>
      <c r="S43" s="2"/>
      <c r="T43" s="2" t="s">
        <v>2080</v>
      </c>
    </row>
    <row r="44" spans="1:20" ht="30" hidden="1" x14ac:dyDescent="0.25">
      <c r="A44" t="str">
        <f>INDEX('Orig (V1_BCK)'!$C:$C,MATCH($B44,'Orig (V1_BCK)'!$C:$C,0),1)</f>
        <v>A7527556--A2422013</v>
      </c>
      <c r="B44" s="3" t="str">
        <f t="shared" si="0"/>
        <v>A7527556--A2422013</v>
      </c>
      <c r="C44" s="2" t="s">
        <v>923</v>
      </c>
      <c r="D44" s="2" t="s">
        <v>924</v>
      </c>
      <c r="E44" s="2" t="s">
        <v>925</v>
      </c>
      <c r="F44" s="2" t="s">
        <v>926</v>
      </c>
      <c r="G44" s="2" t="s">
        <v>2262</v>
      </c>
      <c r="H44" s="2" t="s">
        <v>985</v>
      </c>
      <c r="I44" s="2"/>
      <c r="J44" s="2" t="s">
        <v>575</v>
      </c>
      <c r="K44" s="2" t="s">
        <v>2138</v>
      </c>
      <c r="L44" s="2"/>
      <c r="M44" s="2" t="s">
        <v>576</v>
      </c>
      <c r="N44" s="2"/>
      <c r="O44" s="2" t="s">
        <v>577</v>
      </c>
      <c r="P44" s="2"/>
      <c r="Q44" s="2" t="s">
        <v>578</v>
      </c>
      <c r="R44" s="2"/>
      <c r="S44" s="2"/>
      <c r="T44" s="2" t="s">
        <v>2083</v>
      </c>
    </row>
    <row r="45" spans="1:20" ht="45" hidden="1" x14ac:dyDescent="0.25">
      <c r="A45" t="e">
        <f>INDEX('Orig (V1_BCK)'!$C:$C,MATCH($B45,'Orig (V1_BCK)'!$C:$C,0),1)</f>
        <v>#N/A</v>
      </c>
      <c r="B45" s="3" t="str">
        <f t="shared" si="0"/>
        <v>A7651763--</v>
      </c>
      <c r="C45" s="2" t="s">
        <v>1511</v>
      </c>
      <c r="D45" s="2" t="s">
        <v>1512</v>
      </c>
      <c r="E45" s="2" t="s">
        <v>8</v>
      </c>
      <c r="F45" s="2" t="s">
        <v>8</v>
      </c>
      <c r="G45" s="2" t="s">
        <v>2478</v>
      </c>
      <c r="H45" s="2" t="s">
        <v>1513</v>
      </c>
      <c r="I45" s="2"/>
      <c r="J45" s="2"/>
      <c r="K45" s="2" t="s">
        <v>1312</v>
      </c>
      <c r="L45" s="2"/>
      <c r="M45" s="2"/>
      <c r="N45" s="2"/>
      <c r="O45" s="2"/>
      <c r="P45" s="2"/>
      <c r="Q45" s="2"/>
      <c r="R45" s="2"/>
      <c r="S45" s="2"/>
      <c r="T45" s="2" t="s">
        <v>2080</v>
      </c>
    </row>
    <row r="46" spans="1:20" ht="30" hidden="1" x14ac:dyDescent="0.25">
      <c r="A46" t="e">
        <f>INDEX('Orig (V1_BCK)'!$C:$C,MATCH($B46,'Orig (V1_BCK)'!$C:$C,0),1)</f>
        <v>#N/A</v>
      </c>
      <c r="B46" s="3" t="str">
        <f t="shared" si="0"/>
        <v>A7865818--</v>
      </c>
      <c r="C46" s="2" t="s">
        <v>1506</v>
      </c>
      <c r="D46" s="2" t="s">
        <v>933</v>
      </c>
      <c r="E46" s="2" t="s">
        <v>444</v>
      </c>
      <c r="F46" s="2" t="s">
        <v>44</v>
      </c>
      <c r="G46" s="2" t="s">
        <v>2476</v>
      </c>
      <c r="H46" s="2" t="s">
        <v>1507</v>
      </c>
      <c r="I46" s="2"/>
      <c r="J46" s="2"/>
      <c r="K46" s="2" t="s">
        <v>1312</v>
      </c>
      <c r="L46" s="2"/>
      <c r="M46" s="2"/>
      <c r="N46" s="2"/>
      <c r="O46" s="2"/>
      <c r="P46" s="2"/>
      <c r="Q46" s="2"/>
      <c r="R46" s="2"/>
      <c r="S46" s="2"/>
      <c r="T46" s="2" t="s">
        <v>2038</v>
      </c>
    </row>
    <row r="47" spans="1:20" ht="45" hidden="1" x14ac:dyDescent="0.25">
      <c r="A47" t="e">
        <f>INDEX('Orig (V1_BCK)'!$C:$C,MATCH($B47,'Orig (V1_BCK)'!$C:$C,0),1)</f>
        <v>#N/A</v>
      </c>
      <c r="B47" s="3" t="str">
        <f t="shared" si="0"/>
        <v>A8073996--</v>
      </c>
      <c r="C47" s="2" t="s">
        <v>1920</v>
      </c>
      <c r="D47" s="2" t="s">
        <v>467</v>
      </c>
      <c r="E47" s="2" t="s">
        <v>1921</v>
      </c>
      <c r="F47" s="2" t="s">
        <v>1538</v>
      </c>
      <c r="G47" s="2" t="s">
        <v>2597</v>
      </c>
      <c r="H47" s="2" t="s">
        <v>1922</v>
      </c>
      <c r="I47" s="2"/>
      <c r="J47" s="2"/>
      <c r="K47" s="2" t="s">
        <v>1312</v>
      </c>
      <c r="L47" s="2"/>
      <c r="M47" s="2"/>
      <c r="N47" s="2"/>
      <c r="O47" s="2"/>
      <c r="P47" s="2"/>
      <c r="Q47" s="2"/>
      <c r="R47" s="2"/>
      <c r="S47" s="2"/>
      <c r="T47" s="2" t="s">
        <v>2041</v>
      </c>
    </row>
    <row r="48" spans="1:20" hidden="1" x14ac:dyDescent="0.25">
      <c r="A48" t="str">
        <f>INDEX('Orig (V1_BCK)'!$C:$C,MATCH($B48,'Orig (V1_BCK)'!$C:$C,0),1)</f>
        <v>A8353376--M3569866</v>
      </c>
      <c r="B48" s="3" t="str">
        <f t="shared" si="0"/>
        <v>A8353376--M3569866</v>
      </c>
      <c r="C48" s="2" t="s">
        <v>0</v>
      </c>
      <c r="D48" s="2" t="s">
        <v>1</v>
      </c>
      <c r="E48" s="2" t="s">
        <v>2</v>
      </c>
      <c r="F48" s="2" t="s">
        <v>3</v>
      </c>
      <c r="G48" s="2" t="s">
        <v>2036</v>
      </c>
      <c r="H48" s="2" t="s">
        <v>4</v>
      </c>
      <c r="I48" s="2"/>
      <c r="J48" s="2" t="s">
        <v>5</v>
      </c>
      <c r="K48" s="2" t="s">
        <v>2037</v>
      </c>
      <c r="L48" s="2"/>
      <c r="M48" s="2" t="s">
        <v>6</v>
      </c>
      <c r="N48" s="2"/>
      <c r="O48" s="2" t="s">
        <v>7</v>
      </c>
      <c r="P48" s="2"/>
      <c r="Q48" s="2" t="s">
        <v>8</v>
      </c>
      <c r="R48" s="2"/>
      <c r="S48" s="2"/>
      <c r="T48" s="2" t="s">
        <v>2038</v>
      </c>
    </row>
    <row r="49" spans="1:20" hidden="1" x14ac:dyDescent="0.25">
      <c r="A49" t="str">
        <f>INDEX('Orig (V1_BCK)'!$C:$C,MATCH($B49,'Orig (V1_BCK)'!$C:$C,0),1)</f>
        <v>A8361287--I8301604</v>
      </c>
      <c r="B49" s="3" t="str">
        <f t="shared" si="0"/>
        <v>A8361287--I8301604</v>
      </c>
      <c r="C49" s="2" t="s">
        <v>932</v>
      </c>
      <c r="D49" s="2" t="s">
        <v>933</v>
      </c>
      <c r="E49" s="2" t="s">
        <v>29</v>
      </c>
      <c r="F49" s="2" t="s">
        <v>105</v>
      </c>
      <c r="G49" s="2" t="s">
        <v>2265</v>
      </c>
      <c r="H49" s="2" t="s">
        <v>934</v>
      </c>
      <c r="I49" s="2"/>
      <c r="J49" s="2" t="s">
        <v>72</v>
      </c>
      <c r="K49" s="2" t="s">
        <v>2063</v>
      </c>
      <c r="L49" s="2"/>
      <c r="M49" s="2" t="s">
        <v>73</v>
      </c>
      <c r="N49" s="2"/>
      <c r="O49" s="2" t="s">
        <v>74</v>
      </c>
      <c r="P49" s="2"/>
      <c r="Q49" s="2" t="s">
        <v>8</v>
      </c>
      <c r="R49" s="2"/>
      <c r="S49" s="2"/>
      <c r="T49" s="2" t="s">
        <v>2038</v>
      </c>
    </row>
    <row r="50" spans="1:20" hidden="1" x14ac:dyDescent="0.25">
      <c r="A50" t="e">
        <f>INDEX('Orig (V1_BCK)'!$C:$C,MATCH($B50,'Orig (V1_BCK)'!$C:$C,0),1)</f>
        <v>#N/A</v>
      </c>
      <c r="B50" s="3" t="str">
        <f t="shared" si="0"/>
        <v>A8584658--</v>
      </c>
      <c r="C50" s="2" t="s">
        <v>1423</v>
      </c>
      <c r="D50" s="2" t="s">
        <v>1</v>
      </c>
      <c r="E50" s="2" t="s">
        <v>1424</v>
      </c>
      <c r="F50" s="2" t="s">
        <v>74</v>
      </c>
      <c r="G50" s="2" t="s">
        <v>2451</v>
      </c>
      <c r="H50" s="2" t="s">
        <v>1425</v>
      </c>
      <c r="I50" s="2"/>
      <c r="J50" s="2"/>
      <c r="K50" s="2" t="s">
        <v>1312</v>
      </c>
      <c r="L50" s="2"/>
      <c r="M50" s="2"/>
      <c r="N50" s="2"/>
      <c r="O50" s="2"/>
      <c r="P50" s="2"/>
      <c r="Q50" s="2"/>
      <c r="R50" s="2"/>
      <c r="S50" s="2"/>
      <c r="T50" s="2" t="s">
        <v>2080</v>
      </c>
    </row>
    <row r="51" spans="1:20" hidden="1" x14ac:dyDescent="0.25">
      <c r="A51" t="e">
        <f>INDEX('Orig (V1_BCK)'!$C:$C,MATCH($B51,'Orig (V1_BCK)'!$C:$C,0),1)</f>
        <v>#N/A</v>
      </c>
      <c r="B51" s="3" t="str">
        <f t="shared" si="0"/>
        <v>A9660689--</v>
      </c>
      <c r="C51" s="2" t="s">
        <v>1661</v>
      </c>
      <c r="D51" s="2" t="s">
        <v>68</v>
      </c>
      <c r="E51" s="2" t="s">
        <v>1662</v>
      </c>
      <c r="F51" s="2" t="s">
        <v>1663</v>
      </c>
      <c r="G51" s="2" t="s">
        <v>2521</v>
      </c>
      <c r="H51" s="2" t="s">
        <v>1664</v>
      </c>
      <c r="I51" s="2"/>
      <c r="J51" s="2"/>
      <c r="K51" s="2" t="s">
        <v>1312</v>
      </c>
      <c r="L51" s="2"/>
      <c r="M51" s="2"/>
      <c r="N51" s="2"/>
      <c r="O51" s="2"/>
      <c r="P51" s="2"/>
      <c r="Q51" s="2"/>
      <c r="R51" s="2"/>
      <c r="S51" s="2"/>
      <c r="T51" s="2" t="s">
        <v>2041</v>
      </c>
    </row>
    <row r="52" spans="1:20" hidden="1" x14ac:dyDescent="0.25">
      <c r="A52" t="str">
        <f>INDEX('Orig (V1_BCK)'!$C:$C,MATCH($B52,'Orig (V1_BCK)'!$C:$C,0),1)</f>
        <v>A9859396--J6399199</v>
      </c>
      <c r="B52" s="3" t="str">
        <f t="shared" si="0"/>
        <v>A9859396--J6399199</v>
      </c>
      <c r="C52" s="2" t="s">
        <v>911</v>
      </c>
      <c r="D52" s="2" t="s">
        <v>912</v>
      </c>
      <c r="E52" s="2" t="s">
        <v>913</v>
      </c>
      <c r="F52" s="2" t="s">
        <v>30</v>
      </c>
      <c r="G52" s="2" t="s">
        <v>2257</v>
      </c>
      <c r="H52" s="2" t="s">
        <v>914</v>
      </c>
      <c r="I52" s="2"/>
      <c r="J52" s="2" t="s">
        <v>775</v>
      </c>
      <c r="K52" s="2" t="s">
        <v>2213</v>
      </c>
      <c r="L52" s="2"/>
      <c r="M52" s="2" t="s">
        <v>776</v>
      </c>
      <c r="N52" s="2"/>
      <c r="O52" s="2" t="s">
        <v>777</v>
      </c>
      <c r="P52" s="2"/>
      <c r="Q52" s="2" t="s">
        <v>778</v>
      </c>
      <c r="R52" s="2"/>
      <c r="S52" s="2"/>
      <c r="T52" s="2" t="s">
        <v>2083</v>
      </c>
    </row>
    <row r="53" spans="1:20" hidden="1" x14ac:dyDescent="0.25">
      <c r="A53" t="str">
        <f>INDEX('Orig (V1_BCK)'!$C:$C,MATCH($B53,'Orig (V1_BCK)'!$C:$C,0),1)</f>
        <v>A9899465-A9899465-</v>
      </c>
      <c r="B53" s="3" t="str">
        <f t="shared" si="0"/>
        <v>A9899465-A9899465-</v>
      </c>
      <c r="C53" s="2" t="s">
        <v>1066</v>
      </c>
      <c r="D53" s="2" t="s">
        <v>758</v>
      </c>
      <c r="E53" s="2" t="s">
        <v>691</v>
      </c>
      <c r="F53" s="2" t="s">
        <v>29</v>
      </c>
      <c r="G53" s="2" t="s">
        <v>2331</v>
      </c>
      <c r="H53" s="2" t="s">
        <v>1067</v>
      </c>
      <c r="I53" s="2" t="s">
        <v>1066</v>
      </c>
      <c r="J53" s="2"/>
      <c r="K53" s="2" t="s">
        <v>2332</v>
      </c>
      <c r="L53" s="2" t="s">
        <v>758</v>
      </c>
      <c r="M53" s="2"/>
      <c r="N53" s="2" t="s">
        <v>691</v>
      </c>
      <c r="O53" s="2"/>
      <c r="P53" s="2" t="s">
        <v>29</v>
      </c>
      <c r="Q53" s="2"/>
      <c r="R53" s="2"/>
      <c r="S53" s="2"/>
      <c r="T53" s="2" t="s">
        <v>2071</v>
      </c>
    </row>
    <row r="54" spans="1:20" hidden="1" x14ac:dyDescent="0.25">
      <c r="A54" t="e">
        <f>INDEX('Orig (V1_BCK)'!$C:$C,MATCH($B54,'Orig (V1_BCK)'!$C:$C,0),1)</f>
        <v>#N/A</v>
      </c>
      <c r="B54" s="3" t="str">
        <f t="shared" si="0"/>
        <v>A9983782--</v>
      </c>
      <c r="C54" s="2" t="s">
        <v>1722</v>
      </c>
      <c r="D54" s="2" t="s">
        <v>745</v>
      </c>
      <c r="E54" s="2" t="s">
        <v>1723</v>
      </c>
      <c r="F54" s="2" t="s">
        <v>642</v>
      </c>
      <c r="G54" s="2" t="s">
        <v>2539</v>
      </c>
      <c r="H54" s="2" t="s">
        <v>2539</v>
      </c>
      <c r="I54" s="2"/>
      <c r="J54" s="2"/>
      <c r="K54" s="2" t="s">
        <v>1312</v>
      </c>
      <c r="L54" s="2"/>
      <c r="M54" s="2"/>
      <c r="N54" s="2"/>
      <c r="O54" s="2"/>
      <c r="P54" s="2"/>
      <c r="Q54" s="2"/>
      <c r="R54" s="2"/>
      <c r="S54" s="2"/>
      <c r="T54" s="2" t="s">
        <v>2038</v>
      </c>
    </row>
    <row r="55" spans="1:20" hidden="1" x14ac:dyDescent="0.25">
      <c r="A55" t="e">
        <f>INDEX('Orig (V1_BCK)'!$C:$C,MATCH($B55,'Orig (V1_BCK)'!$C:$C,0),1)</f>
        <v>#N/A</v>
      </c>
      <c r="B55" s="3" t="str">
        <f t="shared" si="0"/>
        <v>B2149319--</v>
      </c>
      <c r="C55" s="2" t="s">
        <v>531</v>
      </c>
      <c r="D55" s="2" t="s">
        <v>532</v>
      </c>
      <c r="E55" s="2" t="s">
        <v>21</v>
      </c>
      <c r="F55" s="2" t="s">
        <v>533</v>
      </c>
      <c r="G55" s="2" t="s">
        <v>2118</v>
      </c>
      <c r="H55" s="2" t="s">
        <v>693</v>
      </c>
      <c r="I55" s="2"/>
      <c r="J55" s="2"/>
      <c r="K55" s="2" t="s">
        <v>1312</v>
      </c>
      <c r="L55" s="2"/>
      <c r="M55" s="2"/>
      <c r="N55" s="2"/>
      <c r="O55" s="2"/>
      <c r="P55" s="2"/>
      <c r="Q55" s="2"/>
      <c r="R55" s="2"/>
      <c r="S55" s="2"/>
      <c r="T55" s="2" t="s">
        <v>2071</v>
      </c>
    </row>
    <row r="56" spans="1:20" ht="30" hidden="1" x14ac:dyDescent="0.25">
      <c r="A56" t="str">
        <f>INDEX('Orig (V1_BCK)'!$C:$C,MATCH($B56,'Orig (V1_BCK)'!$C:$C,0),1)</f>
        <v>B4736339-B4736339-</v>
      </c>
      <c r="B56" s="3" t="str">
        <f t="shared" si="0"/>
        <v>B4736339-B4736339-</v>
      </c>
      <c r="C56" s="2" t="s">
        <v>1015</v>
      </c>
      <c r="D56" s="2" t="s">
        <v>1016</v>
      </c>
      <c r="E56" s="2" t="s">
        <v>1017</v>
      </c>
      <c r="F56" s="2" t="s">
        <v>1018</v>
      </c>
      <c r="G56" s="2" t="s">
        <v>2305</v>
      </c>
      <c r="H56" s="2" t="s">
        <v>1019</v>
      </c>
      <c r="I56" s="2" t="s">
        <v>1015</v>
      </c>
      <c r="J56" s="2"/>
      <c r="K56" s="2" t="s">
        <v>2306</v>
      </c>
      <c r="L56" s="2" t="s">
        <v>1016</v>
      </c>
      <c r="M56" s="2"/>
      <c r="N56" s="2" t="s">
        <v>1017</v>
      </c>
      <c r="O56" s="2"/>
      <c r="P56" s="2" t="s">
        <v>1018</v>
      </c>
      <c r="Q56" s="2"/>
      <c r="R56" s="2"/>
      <c r="S56" s="2"/>
      <c r="T56" s="2" t="s">
        <v>2041</v>
      </c>
    </row>
    <row r="57" spans="1:20" ht="30" hidden="1" x14ac:dyDescent="0.25">
      <c r="A57" t="e">
        <f>INDEX('Orig (V1_BCK)'!$C:$C,MATCH($B57,'Orig (V1_BCK)'!$C:$C,0),1)</f>
        <v>#N/A</v>
      </c>
      <c r="B57" s="3" t="str">
        <f t="shared" si="0"/>
        <v>B6674590--</v>
      </c>
      <c r="C57" s="2" t="s">
        <v>1364</v>
      </c>
      <c r="D57" s="2" t="s">
        <v>1365</v>
      </c>
      <c r="E57" s="2" t="s">
        <v>1366</v>
      </c>
      <c r="F57" s="2" t="s">
        <v>1367</v>
      </c>
      <c r="G57" s="2" t="s">
        <v>2430</v>
      </c>
      <c r="H57" s="2" t="s">
        <v>1368</v>
      </c>
      <c r="I57" s="2"/>
      <c r="J57" s="2"/>
      <c r="K57" s="2" t="s">
        <v>1312</v>
      </c>
      <c r="L57" s="2"/>
      <c r="M57" s="2"/>
      <c r="N57" s="2"/>
      <c r="O57" s="2"/>
      <c r="P57" s="2"/>
      <c r="Q57" s="2"/>
      <c r="R57" s="2"/>
      <c r="S57" s="2"/>
      <c r="T57" s="2" t="s">
        <v>2080</v>
      </c>
    </row>
    <row r="58" spans="1:20" ht="45" hidden="1" x14ac:dyDescent="0.25">
      <c r="A58" t="e">
        <f>INDEX('Orig (V1_BCK)'!$C:$C,MATCH($B58,'Orig (V1_BCK)'!$C:$C,0),1)</f>
        <v>#N/A</v>
      </c>
      <c r="B58" s="3" t="str">
        <f t="shared" si="0"/>
        <v>B8643752--</v>
      </c>
      <c r="C58" s="2" t="s">
        <v>1474</v>
      </c>
      <c r="D58" s="2" t="s">
        <v>45</v>
      </c>
      <c r="E58" s="2" t="s">
        <v>1475</v>
      </c>
      <c r="F58" s="2" t="s">
        <v>64</v>
      </c>
      <c r="G58" s="2" t="s">
        <v>2465</v>
      </c>
      <c r="H58" s="2" t="s">
        <v>1476</v>
      </c>
      <c r="I58" s="2"/>
      <c r="J58" s="2"/>
      <c r="K58" s="2" t="s">
        <v>1312</v>
      </c>
      <c r="L58" s="2"/>
      <c r="M58" s="2"/>
      <c r="N58" s="2"/>
      <c r="O58" s="2"/>
      <c r="P58" s="2"/>
      <c r="Q58" s="2"/>
      <c r="R58" s="2"/>
      <c r="S58" s="2"/>
      <c r="T58" s="2" t="s">
        <v>2397</v>
      </c>
    </row>
    <row r="59" spans="1:20" ht="30" hidden="1" x14ac:dyDescent="0.25">
      <c r="A59" t="e">
        <f>INDEX('Orig (V1_BCK)'!$C:$C,MATCH($B59,'Orig (V1_BCK)'!$C:$C,0),1)</f>
        <v>#N/A</v>
      </c>
      <c r="B59" s="3" t="str">
        <f t="shared" si="0"/>
        <v>B9324934--</v>
      </c>
      <c r="C59" s="2" t="s">
        <v>1252</v>
      </c>
      <c r="D59" s="2" t="s">
        <v>1253</v>
      </c>
      <c r="E59" s="2" t="s">
        <v>704</v>
      </c>
      <c r="F59" s="2" t="s">
        <v>11</v>
      </c>
      <c r="G59" s="2" t="s">
        <v>2572</v>
      </c>
      <c r="H59" s="2" t="s">
        <v>1836</v>
      </c>
      <c r="I59" s="2"/>
      <c r="J59" s="2"/>
      <c r="K59" s="2" t="s">
        <v>1312</v>
      </c>
      <c r="L59" s="2"/>
      <c r="M59" s="2"/>
      <c r="N59" s="2"/>
      <c r="O59" s="2"/>
      <c r="P59" s="2"/>
      <c r="Q59" s="2"/>
      <c r="R59" s="2"/>
      <c r="S59" s="2"/>
      <c r="T59" s="2" t="s">
        <v>2397</v>
      </c>
    </row>
    <row r="60" spans="1:20" hidden="1" x14ac:dyDescent="0.25">
      <c r="A60" t="str">
        <f>INDEX('Orig (V1_BCK)'!$C:$C,MATCH($B60,'Orig (V1_BCK)'!$C:$C,0),1)</f>
        <v>C0100439-C0100439-</v>
      </c>
      <c r="B60" s="3" t="str">
        <f t="shared" si="0"/>
        <v>C0100439-C0100439-</v>
      </c>
      <c r="C60" s="2" t="s">
        <v>461</v>
      </c>
      <c r="D60" s="2" t="s">
        <v>462</v>
      </c>
      <c r="E60" s="2" t="s">
        <v>463</v>
      </c>
      <c r="F60" s="2" t="s">
        <v>464</v>
      </c>
      <c r="G60" s="2" t="s">
        <v>2088</v>
      </c>
      <c r="H60" s="2" t="s">
        <v>465</v>
      </c>
      <c r="I60" s="2" t="s">
        <v>461</v>
      </c>
      <c r="J60" s="2"/>
      <c r="K60" s="2" t="s">
        <v>2089</v>
      </c>
      <c r="L60" s="2" t="s">
        <v>462</v>
      </c>
      <c r="M60" s="2"/>
      <c r="N60" s="2" t="s">
        <v>463</v>
      </c>
      <c r="O60" s="2"/>
      <c r="P60" s="2" t="s">
        <v>464</v>
      </c>
      <c r="Q60" s="2"/>
      <c r="R60" s="2"/>
      <c r="S60" s="2"/>
      <c r="T60" s="2" t="s">
        <v>47</v>
      </c>
    </row>
    <row r="61" spans="1:20" ht="30" hidden="1" x14ac:dyDescent="0.25">
      <c r="A61" t="e">
        <f>INDEX('Orig (V1_BCK)'!$C:$C,MATCH($B61,'Orig (V1_BCK)'!$C:$C,0),1)</f>
        <v>#N/A</v>
      </c>
      <c r="B61" s="3" t="str">
        <f t="shared" si="0"/>
        <v>C0511812--</v>
      </c>
      <c r="C61" s="2" t="s">
        <v>1863</v>
      </c>
      <c r="D61" s="2" t="s">
        <v>1864</v>
      </c>
      <c r="E61" s="2" t="s">
        <v>1865</v>
      </c>
      <c r="F61" s="2" t="s">
        <v>1866</v>
      </c>
      <c r="G61" s="2" t="s">
        <v>2582</v>
      </c>
      <c r="H61" s="2" t="s">
        <v>1867</v>
      </c>
      <c r="I61" s="2"/>
      <c r="J61" s="2"/>
      <c r="K61" s="2" t="s">
        <v>1312</v>
      </c>
      <c r="L61" s="2"/>
      <c r="M61" s="2"/>
      <c r="N61" s="2"/>
      <c r="O61" s="2"/>
      <c r="P61" s="2"/>
      <c r="Q61" s="2"/>
      <c r="R61" s="2"/>
      <c r="S61" s="2"/>
      <c r="T61" s="2" t="s">
        <v>2375</v>
      </c>
    </row>
    <row r="62" spans="1:20" hidden="1" x14ac:dyDescent="0.25">
      <c r="A62" t="e">
        <f>INDEX('Orig (V1_BCK)'!$C:$C,MATCH($B62,'Orig (V1_BCK)'!$C:$C,0),1)</f>
        <v>#N/A</v>
      </c>
      <c r="B62" s="3" t="str">
        <f t="shared" si="0"/>
        <v>C0894436--</v>
      </c>
      <c r="C62" s="2" t="s">
        <v>1987</v>
      </c>
      <c r="D62" s="2" t="s">
        <v>462</v>
      </c>
      <c r="E62" s="2" t="s">
        <v>632</v>
      </c>
      <c r="F62" s="2" t="s">
        <v>1988</v>
      </c>
      <c r="G62" s="2" t="s">
        <v>2620</v>
      </c>
      <c r="H62" s="2" t="s">
        <v>2620</v>
      </c>
      <c r="I62" s="2"/>
      <c r="J62" s="2"/>
      <c r="K62" s="2" t="s">
        <v>1312</v>
      </c>
      <c r="L62" s="2"/>
      <c r="M62" s="2"/>
      <c r="N62" s="2"/>
      <c r="O62" s="2"/>
      <c r="P62" s="2"/>
      <c r="Q62" s="2"/>
      <c r="R62" s="2"/>
      <c r="S62" s="2"/>
      <c r="T62" s="2" t="s">
        <v>2038</v>
      </c>
    </row>
    <row r="63" spans="1:20" ht="30" hidden="1" x14ac:dyDescent="0.25">
      <c r="A63" t="e">
        <f>INDEX('Orig (V1_BCK)'!$C:$C,MATCH($B63,'Orig (V1_BCK)'!$C:$C,0),1)</f>
        <v>#N/A</v>
      </c>
      <c r="B63" s="3" t="str">
        <f t="shared" si="0"/>
        <v>C2308710--</v>
      </c>
      <c r="C63" s="2" t="s">
        <v>1500</v>
      </c>
      <c r="D63" s="2" t="s">
        <v>1501</v>
      </c>
      <c r="E63" s="2" t="s">
        <v>1502</v>
      </c>
      <c r="F63" s="2" t="s">
        <v>74</v>
      </c>
      <c r="G63" s="2" t="s">
        <v>2474</v>
      </c>
      <c r="H63" s="2" t="s">
        <v>1503</v>
      </c>
      <c r="I63" s="2"/>
      <c r="J63" s="2"/>
      <c r="K63" s="2" t="s">
        <v>1312</v>
      </c>
      <c r="L63" s="2"/>
      <c r="M63" s="2"/>
      <c r="N63" s="2"/>
      <c r="O63" s="2"/>
      <c r="P63" s="2"/>
      <c r="Q63" s="2"/>
      <c r="R63" s="2"/>
      <c r="S63" s="2"/>
      <c r="T63" s="2" t="s">
        <v>2071</v>
      </c>
    </row>
    <row r="64" spans="1:20" hidden="1" x14ac:dyDescent="0.25">
      <c r="A64" t="e">
        <f>INDEX('Orig (V1_BCK)'!$C:$C,MATCH($B64,'Orig (V1_BCK)'!$C:$C,0),1)</f>
        <v>#N/A</v>
      </c>
      <c r="B64" s="3" t="str">
        <f t="shared" si="0"/>
        <v>C2850297--</v>
      </c>
      <c r="C64" s="2" t="s">
        <v>1480</v>
      </c>
      <c r="D64" s="2" t="s">
        <v>49</v>
      </c>
      <c r="E64" s="2" t="s">
        <v>1481</v>
      </c>
      <c r="F64" s="2" t="s">
        <v>29</v>
      </c>
      <c r="G64" s="2" t="s">
        <v>2467</v>
      </c>
      <c r="H64" s="2" t="s">
        <v>2467</v>
      </c>
      <c r="I64" s="2"/>
      <c r="J64" s="2"/>
      <c r="K64" s="2" t="s">
        <v>1312</v>
      </c>
      <c r="L64" s="2"/>
      <c r="M64" s="2"/>
      <c r="N64" s="2"/>
      <c r="O64" s="2"/>
      <c r="P64" s="2"/>
      <c r="Q64" s="2"/>
      <c r="R64" s="2"/>
      <c r="S64" s="2"/>
      <c r="T64" s="2" t="s">
        <v>2038</v>
      </c>
    </row>
    <row r="65" spans="1:20" hidden="1" x14ac:dyDescent="0.25">
      <c r="A65" t="e">
        <f>INDEX('Orig (V1_BCK)'!$C:$C,MATCH($B65,'Orig (V1_BCK)'!$C:$C,0),1)</f>
        <v>#N/A</v>
      </c>
      <c r="B65" s="3" t="str">
        <f t="shared" si="0"/>
        <v>C2853872--</v>
      </c>
      <c r="C65" s="2" t="s">
        <v>1397</v>
      </c>
      <c r="D65" s="2" t="s">
        <v>49</v>
      </c>
      <c r="E65" s="2" t="s">
        <v>473</v>
      </c>
      <c r="F65" s="2" t="s">
        <v>473</v>
      </c>
      <c r="G65" s="2" t="s">
        <v>2442</v>
      </c>
      <c r="H65" s="2" t="s">
        <v>1389</v>
      </c>
      <c r="I65" s="2"/>
      <c r="J65" s="2"/>
      <c r="K65" s="2" t="s">
        <v>1312</v>
      </c>
      <c r="L65" s="2"/>
      <c r="M65" s="2"/>
      <c r="N65" s="2"/>
      <c r="O65" s="2"/>
      <c r="P65" s="2"/>
      <c r="Q65" s="2"/>
      <c r="R65" s="2"/>
      <c r="S65" s="2"/>
      <c r="T65" s="2" t="s">
        <v>2080</v>
      </c>
    </row>
    <row r="66" spans="1:20" ht="45" hidden="1" x14ac:dyDescent="0.25">
      <c r="A66" t="e">
        <f>INDEX('Orig (V1_BCK)'!$C:$C,MATCH($B66,'Orig (V1_BCK)'!$C:$C,0),1)</f>
        <v>#N/A</v>
      </c>
      <c r="B66" s="3" t="str">
        <f t="shared" si="0"/>
        <v>C4309475--</v>
      </c>
      <c r="C66" s="2" t="s">
        <v>1817</v>
      </c>
      <c r="D66" s="2" t="s">
        <v>1818</v>
      </c>
      <c r="E66" s="2" t="s">
        <v>44</v>
      </c>
      <c r="F66" s="2" t="s">
        <v>12</v>
      </c>
      <c r="G66" s="2" t="s">
        <v>2566</v>
      </c>
      <c r="H66" s="2" t="s">
        <v>1819</v>
      </c>
      <c r="I66" s="2"/>
      <c r="J66" s="2"/>
      <c r="K66" s="2" t="s">
        <v>1312</v>
      </c>
      <c r="L66" s="2"/>
      <c r="M66" s="2"/>
      <c r="N66" s="2"/>
      <c r="O66" s="2"/>
      <c r="P66" s="2"/>
      <c r="Q66" s="2"/>
      <c r="R66" s="2"/>
      <c r="S66" s="2"/>
      <c r="T66" s="2" t="s">
        <v>2041</v>
      </c>
    </row>
    <row r="67" spans="1:20" ht="30" hidden="1" x14ac:dyDescent="0.25">
      <c r="A67" t="e">
        <f>INDEX('Orig (V1_BCK)'!$C:$C,MATCH($B67,'Orig (V1_BCK)'!$C:$C,0),1)</f>
        <v>#N/A</v>
      </c>
      <c r="B67" s="3" t="str">
        <f t="shared" ref="B67:B130" si="1">_xlfn.TEXTJOIN("-",FALSE,$C67,$I67,$J67)</f>
        <v>C5390904--</v>
      </c>
      <c r="C67" s="2" t="s">
        <v>1778</v>
      </c>
      <c r="D67" s="2" t="s">
        <v>49</v>
      </c>
      <c r="E67" s="2" t="s">
        <v>29</v>
      </c>
      <c r="F67" s="2" t="s">
        <v>1779</v>
      </c>
      <c r="G67" s="2" t="s">
        <v>2555</v>
      </c>
      <c r="H67" s="2" t="s">
        <v>1780</v>
      </c>
      <c r="I67" s="2"/>
      <c r="J67" s="2"/>
      <c r="K67" s="2" t="s">
        <v>1312</v>
      </c>
      <c r="L67" s="2"/>
      <c r="M67" s="2"/>
      <c r="N67" s="2"/>
      <c r="O67" s="2"/>
      <c r="P67" s="2"/>
      <c r="Q67" s="2"/>
      <c r="R67" s="2"/>
      <c r="S67" s="2"/>
      <c r="T67" s="2" t="s">
        <v>47</v>
      </c>
    </row>
    <row r="68" spans="1:20" ht="45" hidden="1" x14ac:dyDescent="0.25">
      <c r="A68" t="e">
        <f>INDEX('Orig (V1_BCK)'!$C:$C,MATCH($B68,'Orig (V1_BCK)'!$C:$C,0),1)</f>
        <v>#N/A</v>
      </c>
      <c r="B68" s="3" t="str">
        <f t="shared" si="1"/>
        <v>C6453348--</v>
      </c>
      <c r="C68" s="2" t="s">
        <v>1833</v>
      </c>
      <c r="D68" s="2" t="s">
        <v>462</v>
      </c>
      <c r="E68" s="2" t="s">
        <v>3</v>
      </c>
      <c r="F68" s="2" t="s">
        <v>1834</v>
      </c>
      <c r="G68" s="2" t="s">
        <v>2571</v>
      </c>
      <c r="H68" s="2" t="s">
        <v>1835</v>
      </c>
      <c r="I68" s="2"/>
      <c r="J68" s="2"/>
      <c r="K68" s="2" t="s">
        <v>1312</v>
      </c>
      <c r="L68" s="2"/>
      <c r="M68" s="2"/>
      <c r="N68" s="2"/>
      <c r="O68" s="2"/>
      <c r="P68" s="2"/>
      <c r="Q68" s="2"/>
      <c r="R68" s="2"/>
      <c r="S68" s="2"/>
      <c r="T68" s="2" t="s">
        <v>2041</v>
      </c>
    </row>
    <row r="69" spans="1:20" ht="45" hidden="1" x14ac:dyDescent="0.25">
      <c r="A69" t="e">
        <f>INDEX('Orig (V1_BCK)'!$C:$C,MATCH($B69,'Orig (V1_BCK)'!$C:$C,0),1)</f>
        <v>#N/A</v>
      </c>
      <c r="B69" s="3" t="str">
        <f t="shared" si="1"/>
        <v>C6596260--</v>
      </c>
      <c r="C69" s="2" t="s">
        <v>1764</v>
      </c>
      <c r="D69" s="2" t="s">
        <v>49</v>
      </c>
      <c r="E69" s="2" t="s">
        <v>1765</v>
      </c>
      <c r="F69" s="2" t="s">
        <v>1766</v>
      </c>
      <c r="G69" s="2" t="s">
        <v>2551</v>
      </c>
      <c r="H69" s="2" t="s">
        <v>1767</v>
      </c>
      <c r="I69" s="2"/>
      <c r="J69" s="2"/>
      <c r="K69" s="2" t="s">
        <v>1312</v>
      </c>
      <c r="L69" s="2"/>
      <c r="M69" s="2"/>
      <c r="N69" s="2"/>
      <c r="O69" s="2"/>
      <c r="P69" s="2"/>
      <c r="Q69" s="2"/>
      <c r="R69" s="2"/>
      <c r="S69" s="2"/>
      <c r="T69" s="2" t="s">
        <v>2041</v>
      </c>
    </row>
    <row r="70" spans="1:20" ht="45" hidden="1" x14ac:dyDescent="0.25">
      <c r="A70" t="str">
        <f>INDEX('Orig (V1_BCK)'!$C:$C,MATCH($B70,'Orig (V1_BCK)'!$C:$C,0),1)</f>
        <v>C7169588-C7169588-</v>
      </c>
      <c r="B70" s="3" t="str">
        <f t="shared" si="1"/>
        <v>C7169588-C7169588-</v>
      </c>
      <c r="C70" s="2" t="s">
        <v>920</v>
      </c>
      <c r="D70" s="2" t="s">
        <v>49</v>
      </c>
      <c r="E70" s="2" t="s">
        <v>8</v>
      </c>
      <c r="F70" s="2" t="s">
        <v>29</v>
      </c>
      <c r="G70" s="2" t="s">
        <v>2259</v>
      </c>
      <c r="H70" s="2" t="s">
        <v>921</v>
      </c>
      <c r="I70" s="2" t="s">
        <v>920</v>
      </c>
      <c r="J70" s="2"/>
      <c r="K70" s="2" t="s">
        <v>2260</v>
      </c>
      <c r="L70" s="2" t="s">
        <v>49</v>
      </c>
      <c r="M70" s="2"/>
      <c r="N70" s="2" t="s">
        <v>8</v>
      </c>
      <c r="O70" s="2"/>
      <c r="P70" s="2" t="s">
        <v>29</v>
      </c>
      <c r="Q70" s="2"/>
      <c r="R70" s="2"/>
      <c r="S70" s="2"/>
      <c r="T70" s="2" t="s">
        <v>2041</v>
      </c>
    </row>
    <row r="71" spans="1:20" ht="30" hidden="1" x14ac:dyDescent="0.25">
      <c r="A71" t="e">
        <f>INDEX('Orig (V1_BCK)'!$C:$C,MATCH($B71,'Orig (V1_BCK)'!$C:$C,0),1)</f>
        <v>#N/A</v>
      </c>
      <c r="B71" s="3" t="str">
        <f t="shared" si="1"/>
        <v>C7994788--</v>
      </c>
      <c r="C71" s="2" t="s">
        <v>1941</v>
      </c>
      <c r="D71" s="2" t="s">
        <v>1942</v>
      </c>
      <c r="E71" s="2" t="s">
        <v>798</v>
      </c>
      <c r="F71" s="2" t="s">
        <v>1943</v>
      </c>
      <c r="G71" s="2" t="s">
        <v>2604</v>
      </c>
      <c r="H71" s="2" t="s">
        <v>1944</v>
      </c>
      <c r="I71" s="2"/>
      <c r="J71" s="2"/>
      <c r="K71" s="2" t="s">
        <v>1312</v>
      </c>
      <c r="L71" s="2"/>
      <c r="M71" s="2"/>
      <c r="N71" s="2"/>
      <c r="O71" s="2"/>
      <c r="P71" s="2"/>
      <c r="Q71" s="2"/>
      <c r="R71" s="2"/>
      <c r="S71" s="2"/>
      <c r="T71" s="2" t="s">
        <v>1583</v>
      </c>
    </row>
    <row r="72" spans="1:20" ht="45" hidden="1" x14ac:dyDescent="0.25">
      <c r="A72" t="e">
        <f>INDEX('Orig (V1_BCK)'!$C:$C,MATCH($B72,'Orig (V1_BCK)'!$C:$C,0),1)</f>
        <v>#N/A</v>
      </c>
      <c r="B72" s="3" t="str">
        <f t="shared" si="1"/>
        <v>C8384405--</v>
      </c>
      <c r="C72" s="2" t="s">
        <v>2007</v>
      </c>
      <c r="D72" s="2" t="s">
        <v>2008</v>
      </c>
      <c r="E72" s="2" t="s">
        <v>2009</v>
      </c>
      <c r="F72" s="2" t="s">
        <v>2010</v>
      </c>
      <c r="G72" s="2" t="s">
        <v>2627</v>
      </c>
      <c r="H72" s="2" t="s">
        <v>2011</v>
      </c>
      <c r="I72" s="2"/>
      <c r="J72" s="2"/>
      <c r="K72" s="2" t="s">
        <v>1312</v>
      </c>
      <c r="L72" s="2"/>
      <c r="M72" s="2"/>
      <c r="N72" s="2"/>
      <c r="O72" s="2"/>
      <c r="P72" s="2"/>
      <c r="Q72" s="2"/>
      <c r="R72" s="2"/>
      <c r="S72" s="2"/>
      <c r="T72" s="2" t="s">
        <v>107</v>
      </c>
    </row>
    <row r="73" spans="1:20" ht="30" hidden="1" x14ac:dyDescent="0.25">
      <c r="A73" t="str">
        <f>INDEX('Orig (V1_BCK)'!$C:$C,MATCH($B73,'Orig (V1_BCK)'!$C:$C,0),1)</f>
        <v>C9446654--J6399199</v>
      </c>
      <c r="B73" s="3" t="str">
        <f t="shared" si="1"/>
        <v>C9446654--J6399199</v>
      </c>
      <c r="C73" s="2" t="s">
        <v>846</v>
      </c>
      <c r="D73" s="2" t="s">
        <v>847</v>
      </c>
      <c r="E73" s="2" t="s">
        <v>30</v>
      </c>
      <c r="F73" s="2" t="s">
        <v>848</v>
      </c>
      <c r="G73" s="2" t="s">
        <v>2234</v>
      </c>
      <c r="H73" s="2" t="s">
        <v>849</v>
      </c>
      <c r="I73" s="2"/>
      <c r="J73" s="2" t="s">
        <v>775</v>
      </c>
      <c r="K73" s="2" t="s">
        <v>2213</v>
      </c>
      <c r="L73" s="2"/>
      <c r="M73" s="2" t="s">
        <v>776</v>
      </c>
      <c r="N73" s="2"/>
      <c r="O73" s="2" t="s">
        <v>777</v>
      </c>
      <c r="P73" s="2"/>
      <c r="Q73" s="2" t="s">
        <v>778</v>
      </c>
      <c r="R73" s="2"/>
      <c r="S73" s="2"/>
      <c r="T73" s="2" t="s">
        <v>2083</v>
      </c>
    </row>
    <row r="74" spans="1:20" ht="30" hidden="1" x14ac:dyDescent="0.25">
      <c r="A74" t="e">
        <f>INDEX('Orig (V1_BCK)'!$C:$C,MATCH($B74,'Orig (V1_BCK)'!$C:$C,0),1)</f>
        <v>#N/A</v>
      </c>
      <c r="B74" s="3" t="str">
        <f t="shared" si="1"/>
        <v>C9544714--</v>
      </c>
      <c r="C74" s="2" t="s">
        <v>1504</v>
      </c>
      <c r="D74" s="2" t="s">
        <v>49</v>
      </c>
      <c r="E74" s="2" t="s">
        <v>21</v>
      </c>
      <c r="F74" s="2" t="s">
        <v>1505</v>
      </c>
      <c r="G74" s="2" t="s">
        <v>2475</v>
      </c>
      <c r="H74" s="2" t="s">
        <v>485</v>
      </c>
      <c r="I74" s="2"/>
      <c r="J74" s="2"/>
      <c r="K74" s="2" t="s">
        <v>1312</v>
      </c>
      <c r="L74" s="2"/>
      <c r="M74" s="2"/>
      <c r="N74" s="2"/>
      <c r="O74" s="2"/>
      <c r="P74" s="2"/>
      <c r="Q74" s="2"/>
      <c r="R74" s="2"/>
      <c r="S74" s="2"/>
      <c r="T74" s="2" t="s">
        <v>2038</v>
      </c>
    </row>
    <row r="75" spans="1:20" ht="45" hidden="1" x14ac:dyDescent="0.25">
      <c r="A75" t="str">
        <f>INDEX('Orig (V1_BCK)'!$C:$C,MATCH($B75,'Orig (V1_BCK)'!$C:$C,0),1)</f>
        <v>C9612177-C9612177-</v>
      </c>
      <c r="B75" s="3" t="str">
        <f t="shared" si="1"/>
        <v>C9612177-C9612177-</v>
      </c>
      <c r="C75" s="2" t="s">
        <v>48</v>
      </c>
      <c r="D75" s="2" t="s">
        <v>49</v>
      </c>
      <c r="E75" s="2" t="s">
        <v>50</v>
      </c>
      <c r="F75" s="2" t="s">
        <v>51</v>
      </c>
      <c r="G75" s="2" t="s">
        <v>2053</v>
      </c>
      <c r="H75" s="2" t="s">
        <v>52</v>
      </c>
      <c r="I75" s="2" t="s">
        <v>48</v>
      </c>
      <c r="J75" s="2"/>
      <c r="K75" s="2" t="s">
        <v>2054</v>
      </c>
      <c r="L75" s="2" t="s">
        <v>49</v>
      </c>
      <c r="M75" s="2"/>
      <c r="N75" s="2" t="s">
        <v>50</v>
      </c>
      <c r="O75" s="2"/>
      <c r="P75" s="2" t="s">
        <v>51</v>
      </c>
      <c r="Q75" s="2"/>
      <c r="R75" s="2"/>
      <c r="S75" s="2"/>
      <c r="T75" s="2" t="s">
        <v>47</v>
      </c>
    </row>
    <row r="76" spans="1:20" hidden="1" x14ac:dyDescent="0.25">
      <c r="A76" t="str">
        <f>INDEX('Orig (V1_BCK)'!$C:$C,MATCH($B76,'Orig (V1_BCK)'!$C:$C,0),1)</f>
        <v>D0530111-D0530111-</v>
      </c>
      <c r="B76" s="3" t="str">
        <f t="shared" si="1"/>
        <v>D0530111-D0530111-</v>
      </c>
      <c r="C76" s="2" t="s">
        <v>89</v>
      </c>
      <c r="D76" s="2" t="s">
        <v>90</v>
      </c>
      <c r="E76" s="2" t="s">
        <v>91</v>
      </c>
      <c r="F76" s="2" t="s">
        <v>92</v>
      </c>
      <c r="G76" s="2" t="s">
        <v>2069</v>
      </c>
      <c r="H76" s="2" t="s">
        <v>93</v>
      </c>
      <c r="I76" s="2" t="s">
        <v>89</v>
      </c>
      <c r="J76" s="2"/>
      <c r="K76" s="2" t="s">
        <v>2070</v>
      </c>
      <c r="L76" s="2" t="s">
        <v>90</v>
      </c>
      <c r="M76" s="2"/>
      <c r="N76" s="2" t="s">
        <v>91</v>
      </c>
      <c r="O76" s="2"/>
      <c r="P76" s="2" t="s">
        <v>92</v>
      </c>
      <c r="Q76" s="2"/>
      <c r="R76" s="2"/>
      <c r="S76" s="2"/>
      <c r="T76" s="2" t="s">
        <v>2071</v>
      </c>
    </row>
    <row r="77" spans="1:20" hidden="1" x14ac:dyDescent="0.25">
      <c r="A77" t="str">
        <f>INDEX('Orig (V1_BCK)'!$C:$C,MATCH($B77,'Orig (V1_BCK)'!$C:$C,0),1)</f>
        <v>D0601716--F6446981</v>
      </c>
      <c r="B77" s="3" t="str">
        <f t="shared" si="1"/>
        <v>D0601716--F6446981</v>
      </c>
      <c r="C77" s="2" t="s">
        <v>1128</v>
      </c>
      <c r="D77" s="2" t="s">
        <v>725</v>
      </c>
      <c r="E77" s="2" t="s">
        <v>691</v>
      </c>
      <c r="F77" s="2" t="s">
        <v>1129</v>
      </c>
      <c r="G77" s="2" t="s">
        <v>2359</v>
      </c>
      <c r="H77" s="2" t="s">
        <v>2359</v>
      </c>
      <c r="I77" s="2"/>
      <c r="J77" s="2" t="s">
        <v>636</v>
      </c>
      <c r="K77" s="2" t="s">
        <v>2162</v>
      </c>
      <c r="L77" s="2"/>
      <c r="M77" s="2" t="s">
        <v>637</v>
      </c>
      <c r="N77" s="2"/>
      <c r="O77" s="2" t="s">
        <v>496</v>
      </c>
      <c r="P77" s="2"/>
      <c r="Q77" s="2" t="s">
        <v>638</v>
      </c>
      <c r="R77" s="2"/>
      <c r="S77" s="2"/>
      <c r="T77" s="2" t="s">
        <v>2083</v>
      </c>
    </row>
    <row r="78" spans="1:20" hidden="1" x14ac:dyDescent="0.25">
      <c r="A78" t="str">
        <f>INDEX('Orig (V1_BCK)'!$C:$C,MATCH($B78,'Orig (V1_BCK)'!$C:$C,0),1)</f>
        <v>D2301615-D2301615-</v>
      </c>
      <c r="B78" s="3" t="str">
        <f t="shared" si="1"/>
        <v>D2301615-D2301615-</v>
      </c>
      <c r="C78" s="2" t="s">
        <v>1035</v>
      </c>
      <c r="D78" s="2" t="s">
        <v>90</v>
      </c>
      <c r="E78" s="2" t="s">
        <v>11</v>
      </c>
      <c r="F78" s="2" t="s">
        <v>96</v>
      </c>
      <c r="G78" s="2" t="s">
        <v>2313</v>
      </c>
      <c r="H78" s="2" t="s">
        <v>1036</v>
      </c>
      <c r="I78" s="2" t="s">
        <v>1035</v>
      </c>
      <c r="J78" s="2"/>
      <c r="K78" s="2" t="s">
        <v>2314</v>
      </c>
      <c r="L78" s="2" t="s">
        <v>90</v>
      </c>
      <c r="M78" s="2"/>
      <c r="N78" s="2" t="s">
        <v>11</v>
      </c>
      <c r="O78" s="2"/>
      <c r="P78" s="2" t="s">
        <v>96</v>
      </c>
      <c r="Q78" s="2"/>
      <c r="R78" s="2"/>
      <c r="S78" s="2"/>
      <c r="T78" s="2" t="s">
        <v>2038</v>
      </c>
    </row>
    <row r="79" spans="1:20" hidden="1" x14ac:dyDescent="0.25">
      <c r="A79" t="str">
        <f>INDEX('Orig (V1_BCK)'!$C:$C,MATCH($B79,'Orig (V1_BCK)'!$C:$C,0),1)</f>
        <v>D5004487--A3575764</v>
      </c>
      <c r="B79" s="3" t="str">
        <f t="shared" si="1"/>
        <v>D5004487--A3575764</v>
      </c>
      <c r="C79" s="2" t="s">
        <v>673</v>
      </c>
      <c r="D79" s="2" t="s">
        <v>90</v>
      </c>
      <c r="E79" s="2" t="s">
        <v>674</v>
      </c>
      <c r="F79" s="2" t="s">
        <v>675</v>
      </c>
      <c r="G79" s="2" t="s">
        <v>2174</v>
      </c>
      <c r="H79" s="2" t="s">
        <v>2174</v>
      </c>
      <c r="I79" s="2"/>
      <c r="J79" s="2" t="s">
        <v>676</v>
      </c>
      <c r="K79" s="2" t="s">
        <v>2175</v>
      </c>
      <c r="L79" s="2"/>
      <c r="M79" s="2" t="s">
        <v>68</v>
      </c>
      <c r="N79" s="2"/>
      <c r="O79" s="2" t="s">
        <v>677</v>
      </c>
      <c r="P79" s="2"/>
      <c r="Q79" s="2" t="s">
        <v>677</v>
      </c>
      <c r="R79" s="2"/>
      <c r="S79" s="2"/>
      <c r="T79" s="2" t="s">
        <v>2083</v>
      </c>
    </row>
    <row r="80" spans="1:20" ht="30" hidden="1" x14ac:dyDescent="0.25">
      <c r="A80" t="e">
        <f>INDEX('Orig (V1_BCK)'!$C:$C,MATCH($B80,'Orig (V1_BCK)'!$C:$C,0),1)</f>
        <v>#N/A</v>
      </c>
      <c r="B80" s="3" t="str">
        <f t="shared" si="1"/>
        <v>D5021103--</v>
      </c>
      <c r="C80" s="2" t="s">
        <v>1411</v>
      </c>
      <c r="D80" s="2" t="s">
        <v>90</v>
      </c>
      <c r="E80" s="2" t="s">
        <v>1171</v>
      </c>
      <c r="F80" s="2" t="s">
        <v>20</v>
      </c>
      <c r="G80" s="2" t="s">
        <v>2447</v>
      </c>
      <c r="H80" s="2" t="s">
        <v>1412</v>
      </c>
      <c r="I80" s="2"/>
      <c r="J80" s="2"/>
      <c r="K80" s="2" t="s">
        <v>1312</v>
      </c>
      <c r="L80" s="2"/>
      <c r="M80" s="2"/>
      <c r="N80" s="2"/>
      <c r="O80" s="2"/>
      <c r="P80" s="2"/>
      <c r="Q80" s="2"/>
      <c r="R80" s="2"/>
      <c r="S80" s="2"/>
      <c r="T80" s="2" t="s">
        <v>2080</v>
      </c>
    </row>
    <row r="81" spans="1:20" hidden="1" x14ac:dyDescent="0.25">
      <c r="A81" t="e">
        <f>INDEX('Orig (V1_BCK)'!$C:$C,MATCH($B81,'Orig (V1_BCK)'!$C:$C,0),1)</f>
        <v>#N/A</v>
      </c>
      <c r="B81" s="3" t="str">
        <f t="shared" si="1"/>
        <v>D5130863--</v>
      </c>
      <c r="C81" s="2" t="s">
        <v>1387</v>
      </c>
      <c r="D81" s="2" t="s">
        <v>90</v>
      </c>
      <c r="E81" s="2" t="s">
        <v>1388</v>
      </c>
      <c r="F81" s="2" t="s">
        <v>11</v>
      </c>
      <c r="G81" s="2" t="s">
        <v>2438</v>
      </c>
      <c r="H81" s="2" t="s">
        <v>1389</v>
      </c>
      <c r="I81" s="2"/>
      <c r="J81" s="2"/>
      <c r="K81" s="2" t="s">
        <v>1312</v>
      </c>
      <c r="L81" s="2"/>
      <c r="M81" s="2"/>
      <c r="N81" s="2"/>
      <c r="O81" s="2"/>
      <c r="P81" s="2"/>
      <c r="Q81" s="2"/>
      <c r="R81" s="2"/>
      <c r="S81" s="2"/>
      <c r="T81" s="2" t="s">
        <v>2439</v>
      </c>
    </row>
    <row r="82" spans="1:20" hidden="1" x14ac:dyDescent="0.25">
      <c r="A82" t="e">
        <f>INDEX('Orig (V1_BCK)'!$C:$C,MATCH($B82,'Orig (V1_BCK)'!$C:$C,0),1)</f>
        <v>#N/A</v>
      </c>
      <c r="B82" s="3" t="str">
        <f t="shared" si="1"/>
        <v>D5657514--</v>
      </c>
      <c r="C82" s="2" t="s">
        <v>1762</v>
      </c>
      <c r="D82" s="2" t="s">
        <v>90</v>
      </c>
      <c r="E82" s="2" t="s">
        <v>1763</v>
      </c>
      <c r="F82" s="2" t="s">
        <v>29</v>
      </c>
      <c r="G82" s="2" t="s">
        <v>2550</v>
      </c>
      <c r="H82" s="2" t="s">
        <v>944</v>
      </c>
      <c r="I82" s="2"/>
      <c r="J82" s="2"/>
      <c r="K82" s="2" t="s">
        <v>1312</v>
      </c>
      <c r="L82" s="2"/>
      <c r="M82" s="2"/>
      <c r="N82" s="2"/>
      <c r="O82" s="2"/>
      <c r="P82" s="2"/>
      <c r="Q82" s="2"/>
      <c r="R82" s="2"/>
      <c r="S82" s="2"/>
      <c r="T82" s="2" t="s">
        <v>2041</v>
      </c>
    </row>
    <row r="83" spans="1:20" ht="30" hidden="1" x14ac:dyDescent="0.25">
      <c r="A83" t="str">
        <f>INDEX('Orig (V1_BCK)'!$C:$C,MATCH($B83,'Orig (V1_BCK)'!$C:$C,0),1)</f>
        <v>D5989930--J5498073</v>
      </c>
      <c r="B83" s="3" t="str">
        <f t="shared" si="1"/>
        <v>D5989930--J5498073</v>
      </c>
      <c r="C83" s="2" t="s">
        <v>1025</v>
      </c>
      <c r="D83" s="2" t="s">
        <v>725</v>
      </c>
      <c r="E83" s="2" t="s">
        <v>1026</v>
      </c>
      <c r="F83" s="2" t="s">
        <v>44</v>
      </c>
      <c r="G83" s="2" t="s">
        <v>2309</v>
      </c>
      <c r="H83" s="2" t="s">
        <v>1027</v>
      </c>
      <c r="I83" s="2"/>
      <c r="J83" s="2" t="s">
        <v>1028</v>
      </c>
      <c r="K83" s="2" t="s">
        <v>2310</v>
      </c>
      <c r="L83" s="2"/>
      <c r="M83" s="2" t="s">
        <v>1029</v>
      </c>
      <c r="N83" s="2"/>
      <c r="O83" s="2" t="s">
        <v>1030</v>
      </c>
      <c r="P83" s="2"/>
      <c r="Q83" s="2" t="s">
        <v>1031</v>
      </c>
      <c r="R83" s="2"/>
      <c r="S83" s="2"/>
      <c r="T83" s="2" t="s">
        <v>2038</v>
      </c>
    </row>
    <row r="84" spans="1:20" ht="30" hidden="1" x14ac:dyDescent="0.25">
      <c r="A84" t="str">
        <f>INDEX('Orig (V1_BCK)'!$C:$C,MATCH($B84,'Orig (V1_BCK)'!$C:$C,0),1)</f>
        <v>D6566115-D6566115-</v>
      </c>
      <c r="B84" s="3" t="str">
        <f t="shared" si="1"/>
        <v>D6566115-D6566115-</v>
      </c>
      <c r="C84" s="2" t="s">
        <v>1084</v>
      </c>
      <c r="D84" s="2" t="s">
        <v>1085</v>
      </c>
      <c r="E84" s="2" t="s">
        <v>1086</v>
      </c>
      <c r="F84" s="2" t="s">
        <v>1087</v>
      </c>
      <c r="G84" s="2" t="s">
        <v>2340</v>
      </c>
      <c r="H84" s="2" t="s">
        <v>1088</v>
      </c>
      <c r="I84" s="2" t="s">
        <v>1084</v>
      </c>
      <c r="J84" s="2"/>
      <c r="K84" s="2" t="s">
        <v>2341</v>
      </c>
      <c r="L84" s="2" t="s">
        <v>1085</v>
      </c>
      <c r="M84" s="2"/>
      <c r="N84" s="2" t="s">
        <v>1086</v>
      </c>
      <c r="O84" s="2"/>
      <c r="P84" s="2" t="s">
        <v>1087</v>
      </c>
      <c r="Q84" s="2"/>
      <c r="R84" s="2"/>
      <c r="S84" s="2"/>
      <c r="T84" s="2" t="s">
        <v>2038</v>
      </c>
    </row>
    <row r="85" spans="1:20" ht="30" hidden="1" x14ac:dyDescent="0.25">
      <c r="A85" t="str">
        <f>INDEX('Orig (V1_BCK)'!$C:$C,MATCH($B85,'Orig (V1_BCK)'!$C:$C,0),1)</f>
        <v>D6725163--J5549918</v>
      </c>
      <c r="B85" s="3" t="str">
        <f t="shared" si="1"/>
        <v>D6725163--J5549918</v>
      </c>
      <c r="C85" s="2" t="s">
        <v>442</v>
      </c>
      <c r="D85" s="2" t="s">
        <v>90</v>
      </c>
      <c r="E85" s="2" t="s">
        <v>443</v>
      </c>
      <c r="F85" s="2" t="s">
        <v>444</v>
      </c>
      <c r="G85" s="2" t="s">
        <v>2081</v>
      </c>
      <c r="H85" s="2" t="s">
        <v>445</v>
      </c>
      <c r="I85" s="2"/>
      <c r="J85" s="2" t="s">
        <v>446</v>
      </c>
      <c r="K85" s="2" t="s">
        <v>2082</v>
      </c>
      <c r="L85" s="2"/>
      <c r="M85" s="2" t="s">
        <v>438</v>
      </c>
      <c r="N85" s="2"/>
      <c r="O85" s="2" t="s">
        <v>447</v>
      </c>
      <c r="P85" s="2"/>
      <c r="Q85" s="2" t="s">
        <v>448</v>
      </c>
      <c r="R85" s="2"/>
      <c r="S85" s="2"/>
      <c r="T85" s="2" t="s">
        <v>2083</v>
      </c>
    </row>
    <row r="86" spans="1:20" ht="45" hidden="1" x14ac:dyDescent="0.25">
      <c r="A86" t="e">
        <f>INDEX('Orig (V1_BCK)'!$C:$C,MATCH($B86,'Orig (V1_BCK)'!$C:$C,0),1)</f>
        <v>#N/A</v>
      </c>
      <c r="B86" s="3" t="str">
        <f t="shared" si="1"/>
        <v>D7436550--</v>
      </c>
      <c r="C86" s="2" t="s">
        <v>1785</v>
      </c>
      <c r="D86" s="2" t="s">
        <v>1786</v>
      </c>
      <c r="E86" s="2" t="s">
        <v>704</v>
      </c>
      <c r="F86" s="2" t="s">
        <v>1787</v>
      </c>
      <c r="G86" s="2" t="s">
        <v>2557</v>
      </c>
      <c r="H86" s="2" t="s">
        <v>1788</v>
      </c>
      <c r="I86" s="2"/>
      <c r="J86" s="2"/>
      <c r="K86" s="2" t="s">
        <v>1312</v>
      </c>
      <c r="L86" s="2"/>
      <c r="M86" s="2"/>
      <c r="N86" s="2"/>
      <c r="O86" s="2"/>
      <c r="P86" s="2"/>
      <c r="Q86" s="2"/>
      <c r="R86" s="2"/>
      <c r="S86" s="2"/>
      <c r="T86" s="2" t="s">
        <v>2041</v>
      </c>
    </row>
    <row r="87" spans="1:20" ht="45" hidden="1" x14ac:dyDescent="0.25">
      <c r="A87" t="e">
        <f>INDEX('Orig (V1_BCK)'!$C:$C,MATCH($B87,'Orig (V1_BCK)'!$C:$C,0),1)</f>
        <v>#N/A</v>
      </c>
      <c r="B87" s="3" t="str">
        <f t="shared" si="1"/>
        <v>D8050746--</v>
      </c>
      <c r="C87" s="2" t="s">
        <v>1403</v>
      </c>
      <c r="D87" s="2" t="s">
        <v>1085</v>
      </c>
      <c r="E87" s="2" t="s">
        <v>1404</v>
      </c>
      <c r="F87" s="2" t="s">
        <v>1405</v>
      </c>
      <c r="G87" s="2" t="s">
        <v>2445</v>
      </c>
      <c r="H87" s="2" t="s">
        <v>1406</v>
      </c>
      <c r="I87" s="2"/>
      <c r="J87" s="2"/>
      <c r="K87" s="2" t="s">
        <v>1312</v>
      </c>
      <c r="L87" s="2"/>
      <c r="M87" s="2"/>
      <c r="N87" s="2"/>
      <c r="O87" s="2"/>
      <c r="P87" s="2"/>
      <c r="Q87" s="2"/>
      <c r="R87" s="2"/>
      <c r="S87" s="2"/>
      <c r="T87" s="2" t="s">
        <v>2375</v>
      </c>
    </row>
    <row r="88" spans="1:20" hidden="1" x14ac:dyDescent="0.25">
      <c r="A88" t="str">
        <f>INDEX('Orig (V1_BCK)'!$C:$C,MATCH($B88,'Orig (V1_BCK)'!$C:$C,0),1)</f>
        <v>D8102953--A3167958</v>
      </c>
      <c r="B88" s="3" t="str">
        <f t="shared" si="1"/>
        <v>D8102953--A3167958</v>
      </c>
      <c r="C88" s="2" t="s">
        <v>724</v>
      </c>
      <c r="D88" s="2" t="s">
        <v>725</v>
      </c>
      <c r="E88" s="2" t="s">
        <v>726</v>
      </c>
      <c r="F88" s="2" t="s">
        <v>727</v>
      </c>
      <c r="G88" s="2" t="s">
        <v>2194</v>
      </c>
      <c r="H88" s="2" t="s">
        <v>2194</v>
      </c>
      <c r="I88" s="2"/>
      <c r="J88" s="2" t="s">
        <v>640</v>
      </c>
      <c r="K88" s="2" t="s">
        <v>2163</v>
      </c>
      <c r="L88" s="2"/>
      <c r="M88" s="2" t="s">
        <v>68</v>
      </c>
      <c r="N88" s="2"/>
      <c r="O88" s="2" t="s">
        <v>549</v>
      </c>
      <c r="P88" s="2"/>
      <c r="Q88" s="2" t="s">
        <v>12</v>
      </c>
      <c r="R88" s="2"/>
      <c r="S88" s="2"/>
      <c r="T88" s="2" t="s">
        <v>2083</v>
      </c>
    </row>
    <row r="89" spans="1:20" ht="45" hidden="1" x14ac:dyDescent="0.25">
      <c r="A89" t="str">
        <f>INDEX('Orig (V1_BCK)'!$C:$C,MATCH($B89,'Orig (V1_BCK)'!$C:$C,0),1)</f>
        <v>D8399181-D8399181-</v>
      </c>
      <c r="B89" s="3" t="str">
        <f t="shared" si="1"/>
        <v>D8399181-D8399181-</v>
      </c>
      <c r="C89" s="2" t="s">
        <v>606</v>
      </c>
      <c r="D89" s="2" t="s">
        <v>90</v>
      </c>
      <c r="E89" s="2" t="s">
        <v>607</v>
      </c>
      <c r="F89" s="2" t="s">
        <v>528</v>
      </c>
      <c r="G89" s="2" t="s">
        <v>2151</v>
      </c>
      <c r="H89" s="2" t="s">
        <v>608</v>
      </c>
      <c r="I89" s="2" t="s">
        <v>606</v>
      </c>
      <c r="J89" s="2"/>
      <c r="K89" s="2" t="s">
        <v>2152</v>
      </c>
      <c r="L89" s="2" t="s">
        <v>90</v>
      </c>
      <c r="M89" s="2"/>
      <c r="N89" s="2" t="s">
        <v>607</v>
      </c>
      <c r="O89" s="2"/>
      <c r="P89" s="2" t="s">
        <v>528</v>
      </c>
      <c r="Q89" s="2"/>
      <c r="R89" s="2"/>
      <c r="S89" s="2"/>
      <c r="T89" s="2" t="s">
        <v>2038</v>
      </c>
    </row>
    <row r="90" spans="1:20" ht="30" hidden="1" x14ac:dyDescent="0.25">
      <c r="A90" t="e">
        <f>INDEX('Orig (V1_BCK)'!$C:$C,MATCH($B90,'Orig (V1_BCK)'!$C:$C,0),1)</f>
        <v>#N/A</v>
      </c>
      <c r="B90" s="3" t="str">
        <f t="shared" si="1"/>
        <v>D9233924--</v>
      </c>
      <c r="C90" s="2" t="s">
        <v>1276</v>
      </c>
      <c r="D90" s="2" t="s">
        <v>725</v>
      </c>
      <c r="E90" s="2" t="s">
        <v>20</v>
      </c>
      <c r="F90" s="2" t="s">
        <v>1145</v>
      </c>
      <c r="G90" s="2" t="s">
        <v>2494</v>
      </c>
      <c r="H90" s="2" t="s">
        <v>1570</v>
      </c>
      <c r="I90" s="2"/>
      <c r="J90" s="2"/>
      <c r="K90" s="2" t="s">
        <v>1312</v>
      </c>
      <c r="L90" s="2"/>
      <c r="M90" s="2"/>
      <c r="N90" s="2"/>
      <c r="O90" s="2"/>
      <c r="P90" s="2"/>
      <c r="Q90" s="2"/>
      <c r="R90" s="2"/>
      <c r="S90" s="2"/>
      <c r="T90" s="2" t="s">
        <v>2041</v>
      </c>
    </row>
    <row r="91" spans="1:20" ht="45" hidden="1" x14ac:dyDescent="0.25">
      <c r="A91" t="e">
        <f>INDEX('Orig (V1_BCK)'!$C:$C,MATCH($B91,'Orig (V1_BCK)'!$C:$C,0),1)</f>
        <v>#N/A</v>
      </c>
      <c r="B91" s="3" t="str">
        <f t="shared" si="1"/>
        <v>D9526202--</v>
      </c>
      <c r="C91" s="2" t="s">
        <v>1945</v>
      </c>
      <c r="D91" s="2" t="s">
        <v>90</v>
      </c>
      <c r="E91" s="2" t="s">
        <v>29</v>
      </c>
      <c r="F91" s="2" t="s">
        <v>1395</v>
      </c>
      <c r="G91" s="2" t="s">
        <v>2605</v>
      </c>
      <c r="H91" s="2" t="s">
        <v>1946</v>
      </c>
      <c r="I91" s="2"/>
      <c r="J91" s="2"/>
      <c r="K91" s="2" t="s">
        <v>1312</v>
      </c>
      <c r="L91" s="2"/>
      <c r="M91" s="2"/>
      <c r="N91" s="2"/>
      <c r="O91" s="2"/>
      <c r="P91" s="2"/>
      <c r="Q91" s="2"/>
      <c r="R91" s="2"/>
      <c r="S91" s="2"/>
      <c r="T91" s="2" t="s">
        <v>2041</v>
      </c>
    </row>
    <row r="92" spans="1:20" ht="30" hidden="1" x14ac:dyDescent="0.25">
      <c r="A92" t="str">
        <f>INDEX('Orig (V1_BCK)'!$C:$C,MATCH($B92,'Orig (V1_BCK)'!$C:$C,0),1)</f>
        <v>E0049784--I7600760</v>
      </c>
      <c r="B92" s="3" t="str">
        <f t="shared" si="1"/>
        <v>E0049784--I7600760</v>
      </c>
      <c r="C92" s="2" t="s">
        <v>935</v>
      </c>
      <c r="D92" s="2" t="s">
        <v>936</v>
      </c>
      <c r="E92" s="2" t="s">
        <v>824</v>
      </c>
      <c r="F92" s="2" t="s">
        <v>825</v>
      </c>
      <c r="G92" s="2" t="s">
        <v>2266</v>
      </c>
      <c r="H92" s="2" t="s">
        <v>937</v>
      </c>
      <c r="I92" s="2"/>
      <c r="J92" s="2" t="s">
        <v>822</v>
      </c>
      <c r="K92" s="2" t="s">
        <v>2229</v>
      </c>
      <c r="L92" s="2"/>
      <c r="M92" s="2" t="s">
        <v>823</v>
      </c>
      <c r="N92" s="2"/>
      <c r="O92" s="2" t="s">
        <v>824</v>
      </c>
      <c r="P92" s="2"/>
      <c r="Q92" s="2" t="s">
        <v>825</v>
      </c>
      <c r="R92" s="2"/>
      <c r="S92" s="2"/>
      <c r="T92" s="2" t="s">
        <v>2083</v>
      </c>
    </row>
    <row r="93" spans="1:20" hidden="1" x14ac:dyDescent="0.25">
      <c r="A93" t="e">
        <f>INDEX('Orig (V1_BCK)'!$C:$C,MATCH($B93,'Orig (V1_BCK)'!$C:$C,0),1)</f>
        <v>#N/A</v>
      </c>
      <c r="B93" s="3" t="str">
        <f t="shared" si="1"/>
        <v>E0523999--</v>
      </c>
      <c r="C93" s="2" t="s">
        <v>1488</v>
      </c>
      <c r="D93" s="2" t="s">
        <v>910</v>
      </c>
      <c r="E93" s="2" t="s">
        <v>684</v>
      </c>
      <c r="F93" s="2" t="s">
        <v>1489</v>
      </c>
      <c r="G93" s="2" t="s">
        <v>2470</v>
      </c>
      <c r="H93" s="2" t="s">
        <v>1490</v>
      </c>
      <c r="I93" s="2"/>
      <c r="J93" s="2"/>
      <c r="K93" s="2" t="s">
        <v>1312</v>
      </c>
      <c r="L93" s="2"/>
      <c r="M93" s="2"/>
      <c r="N93" s="2"/>
      <c r="O93" s="2"/>
      <c r="P93" s="2"/>
      <c r="Q93" s="2"/>
      <c r="R93" s="2"/>
      <c r="S93" s="2"/>
      <c r="T93" s="2" t="s">
        <v>2041</v>
      </c>
    </row>
    <row r="94" spans="1:20" ht="30" hidden="1" x14ac:dyDescent="0.25">
      <c r="A94" t="e">
        <f>INDEX('Orig (V1_BCK)'!$C:$C,MATCH($B94,'Orig (V1_BCK)'!$C:$C,0),1)</f>
        <v>#N/A</v>
      </c>
      <c r="B94" s="3" t="str">
        <f t="shared" si="1"/>
        <v>E2287010--</v>
      </c>
      <c r="C94" s="2" t="s">
        <v>1999</v>
      </c>
      <c r="D94" s="2" t="s">
        <v>1909</v>
      </c>
      <c r="E94" s="2" t="s">
        <v>753</v>
      </c>
      <c r="F94" s="2" t="s">
        <v>2000</v>
      </c>
      <c r="G94" s="2" t="s">
        <v>2624</v>
      </c>
      <c r="H94" s="2" t="s">
        <v>2001</v>
      </c>
      <c r="I94" s="2"/>
      <c r="J94" s="2"/>
      <c r="K94" s="2" t="s">
        <v>1312</v>
      </c>
      <c r="L94" s="2"/>
      <c r="M94" s="2"/>
      <c r="N94" s="2"/>
      <c r="O94" s="2"/>
      <c r="P94" s="2"/>
      <c r="Q94" s="2"/>
      <c r="R94" s="2"/>
      <c r="S94" s="2"/>
      <c r="T94" s="2" t="s">
        <v>2046</v>
      </c>
    </row>
    <row r="95" spans="1:20" hidden="1" x14ac:dyDescent="0.25">
      <c r="A95" t="e">
        <f>INDEX('Orig (V1_BCK)'!$C:$C,MATCH($B95,'Orig (V1_BCK)'!$C:$C,0),1)</f>
        <v>#N/A</v>
      </c>
      <c r="B95" s="3" t="str">
        <f t="shared" si="1"/>
        <v>E3066917--</v>
      </c>
      <c r="C95" s="2" t="s">
        <v>909</v>
      </c>
      <c r="D95" s="2" t="s">
        <v>910</v>
      </c>
      <c r="E95" s="2" t="s">
        <v>642</v>
      </c>
      <c r="F95" s="2" t="s">
        <v>44</v>
      </c>
      <c r="G95" s="2" t="s">
        <v>2256</v>
      </c>
      <c r="H95" s="2" t="s">
        <v>693</v>
      </c>
      <c r="I95" s="2"/>
      <c r="J95" s="2"/>
      <c r="K95" s="2" t="s">
        <v>1312</v>
      </c>
      <c r="L95" s="2"/>
      <c r="M95" s="2"/>
      <c r="N95" s="2"/>
      <c r="O95" s="2"/>
      <c r="P95" s="2"/>
      <c r="Q95" s="2"/>
      <c r="R95" s="2"/>
      <c r="S95" s="2"/>
      <c r="T95" s="2" t="s">
        <v>2038</v>
      </c>
    </row>
    <row r="96" spans="1:20" ht="45" hidden="1" x14ac:dyDescent="0.25">
      <c r="A96" t="e">
        <f>INDEX('Orig (V1_BCK)'!$C:$C,MATCH($B96,'Orig (V1_BCK)'!$C:$C,0),1)</f>
        <v>#N/A</v>
      </c>
      <c r="B96" s="3" t="str">
        <f t="shared" si="1"/>
        <v>E3156157--</v>
      </c>
      <c r="C96" s="2" t="s">
        <v>1781</v>
      </c>
      <c r="D96" s="2" t="s">
        <v>1782</v>
      </c>
      <c r="E96" s="2" t="s">
        <v>704</v>
      </c>
      <c r="F96" s="2" t="s">
        <v>1783</v>
      </c>
      <c r="G96" s="2" t="s">
        <v>2556</v>
      </c>
      <c r="H96" s="2" t="s">
        <v>1784</v>
      </c>
      <c r="I96" s="2"/>
      <c r="J96" s="2"/>
      <c r="K96" s="2" t="s">
        <v>1312</v>
      </c>
      <c r="L96" s="2"/>
      <c r="M96" s="2"/>
      <c r="N96" s="2"/>
      <c r="O96" s="2"/>
      <c r="P96" s="2"/>
      <c r="Q96" s="2"/>
      <c r="R96" s="2"/>
      <c r="S96" s="2"/>
      <c r="T96" s="2" t="s">
        <v>2041</v>
      </c>
    </row>
    <row r="97" spans="1:20" hidden="1" x14ac:dyDescent="0.25">
      <c r="A97" t="str">
        <f>INDEX('Orig (V1_BCK)'!$C:$C,MATCH($B97,'Orig (V1_BCK)'!$C:$C,0),1)</f>
        <v>E3234664--J2543295</v>
      </c>
      <c r="B97" s="3" t="str">
        <f t="shared" si="1"/>
        <v>E3234664--J2543295</v>
      </c>
      <c r="C97" s="2" t="s">
        <v>916</v>
      </c>
      <c r="D97" s="2" t="s">
        <v>917</v>
      </c>
      <c r="E97" s="2" t="s">
        <v>918</v>
      </c>
      <c r="F97" s="2" t="s">
        <v>617</v>
      </c>
      <c r="G97" s="2" t="s">
        <v>2258</v>
      </c>
      <c r="H97" s="2" t="s">
        <v>919</v>
      </c>
      <c r="I97" s="2"/>
      <c r="J97" s="2" t="s">
        <v>795</v>
      </c>
      <c r="K97" s="2" t="s">
        <v>2220</v>
      </c>
      <c r="L97" s="2"/>
      <c r="M97" s="2" t="s">
        <v>796</v>
      </c>
      <c r="N97" s="2"/>
      <c r="O97" s="2" t="s">
        <v>797</v>
      </c>
      <c r="P97" s="2"/>
      <c r="Q97" s="2" t="s">
        <v>798</v>
      </c>
      <c r="R97" s="2"/>
      <c r="S97" s="2"/>
      <c r="T97" s="2" t="s">
        <v>2046</v>
      </c>
    </row>
    <row r="98" spans="1:20" ht="30" hidden="1" x14ac:dyDescent="0.25">
      <c r="A98" t="e">
        <f>INDEX('Orig (V1_BCK)'!$C:$C,MATCH($B98,'Orig (V1_BCK)'!$C:$C,0),1)</f>
        <v>#N/A</v>
      </c>
      <c r="B98" s="3" t="str">
        <f t="shared" si="1"/>
        <v>E3965521--</v>
      </c>
      <c r="C98" s="2" t="s">
        <v>1283</v>
      </c>
      <c r="D98" s="2" t="s">
        <v>1284</v>
      </c>
      <c r="E98" s="2" t="s">
        <v>44</v>
      </c>
      <c r="F98" s="2" t="s">
        <v>1285</v>
      </c>
      <c r="G98" s="2" t="s">
        <v>2574</v>
      </c>
      <c r="H98" s="2" t="s">
        <v>1841</v>
      </c>
      <c r="I98" s="2"/>
      <c r="J98" s="2"/>
      <c r="K98" s="2" t="s">
        <v>1312</v>
      </c>
      <c r="L98" s="2"/>
      <c r="M98" s="2"/>
      <c r="N98" s="2"/>
      <c r="O98" s="2"/>
      <c r="P98" s="2"/>
      <c r="Q98" s="2"/>
      <c r="R98" s="2"/>
      <c r="S98" s="2"/>
      <c r="T98" s="2" t="s">
        <v>2038</v>
      </c>
    </row>
    <row r="99" spans="1:20" ht="30" hidden="1" x14ac:dyDescent="0.25">
      <c r="A99" t="e">
        <f>INDEX('Orig (V1_BCK)'!$C:$C,MATCH($B99,'Orig (V1_BCK)'!$C:$C,0),1)</f>
        <v>#N/A</v>
      </c>
      <c r="B99" s="3" t="str">
        <f t="shared" si="1"/>
        <v>E5042119--</v>
      </c>
      <c r="C99" s="2" t="s">
        <v>1876</v>
      </c>
      <c r="D99" s="2" t="s">
        <v>1877</v>
      </c>
      <c r="E99" s="2" t="s">
        <v>1878</v>
      </c>
      <c r="F99" s="2" t="s">
        <v>1879</v>
      </c>
      <c r="G99" s="2" t="s">
        <v>2585</v>
      </c>
      <c r="H99" s="2" t="s">
        <v>1880</v>
      </c>
      <c r="I99" s="2"/>
      <c r="J99" s="2"/>
      <c r="K99" s="2" t="s">
        <v>1312</v>
      </c>
      <c r="L99" s="2"/>
      <c r="M99" s="2"/>
      <c r="N99" s="2"/>
      <c r="O99" s="2"/>
      <c r="P99" s="2"/>
      <c r="Q99" s="2"/>
      <c r="R99" s="2"/>
      <c r="S99" s="2"/>
      <c r="T99" s="2" t="s">
        <v>2041</v>
      </c>
    </row>
    <row r="100" spans="1:20" ht="30" hidden="1" x14ac:dyDescent="0.25">
      <c r="A100" t="e">
        <f>INDEX('Orig (V1_BCK)'!$C:$C,MATCH($B100,'Orig (V1_BCK)'!$C:$C,0),1)</f>
        <v>#N/A</v>
      </c>
      <c r="B100" s="3" t="str">
        <f t="shared" si="1"/>
        <v>E5146221--</v>
      </c>
      <c r="C100" s="2" t="s">
        <v>1669</v>
      </c>
      <c r="D100" s="2" t="s">
        <v>1670</v>
      </c>
      <c r="E100" s="2" t="s">
        <v>1671</v>
      </c>
      <c r="F100" s="2" t="s">
        <v>1672</v>
      </c>
      <c r="G100" s="2" t="s">
        <v>2523</v>
      </c>
      <c r="H100" s="2" t="s">
        <v>1673</v>
      </c>
      <c r="I100" s="2"/>
      <c r="J100" s="2"/>
      <c r="K100" s="2" t="s">
        <v>1312</v>
      </c>
      <c r="L100" s="2"/>
      <c r="M100" s="2"/>
      <c r="N100" s="2"/>
      <c r="O100" s="2"/>
      <c r="P100" s="2"/>
      <c r="Q100" s="2"/>
      <c r="R100" s="2"/>
      <c r="S100" s="2"/>
      <c r="T100" s="2" t="s">
        <v>1583</v>
      </c>
    </row>
    <row r="101" spans="1:20" ht="30" hidden="1" x14ac:dyDescent="0.25">
      <c r="A101" t="e">
        <f>INDEX('Orig (V1_BCK)'!$C:$C,MATCH($B101,'Orig (V1_BCK)'!$C:$C,0),1)</f>
        <v>#N/A</v>
      </c>
      <c r="B101" s="3" t="str">
        <f t="shared" si="1"/>
        <v>E5503315--</v>
      </c>
      <c r="C101" s="2" t="s">
        <v>1896</v>
      </c>
      <c r="D101" s="2" t="s">
        <v>1897</v>
      </c>
      <c r="E101" s="2" t="s">
        <v>1898</v>
      </c>
      <c r="F101" s="2" t="s">
        <v>1899</v>
      </c>
      <c r="G101" s="2" t="s">
        <v>2590</v>
      </c>
      <c r="H101" s="2" t="s">
        <v>1900</v>
      </c>
      <c r="I101" s="2"/>
      <c r="J101" s="2"/>
      <c r="K101" s="2" t="s">
        <v>1312</v>
      </c>
      <c r="L101" s="2"/>
      <c r="M101" s="2"/>
      <c r="N101" s="2"/>
      <c r="O101" s="2"/>
      <c r="P101" s="2"/>
      <c r="Q101" s="2"/>
      <c r="R101" s="2"/>
      <c r="S101" s="2"/>
      <c r="T101" s="2" t="s">
        <v>2375</v>
      </c>
    </row>
    <row r="102" spans="1:20" ht="30" hidden="1" x14ac:dyDescent="0.25">
      <c r="A102" t="e">
        <f>INDEX('Orig (V1_BCK)'!$C:$C,MATCH($B102,'Orig (V1_BCK)'!$C:$C,0),1)</f>
        <v>#N/A</v>
      </c>
      <c r="B102" s="3" t="str">
        <f t="shared" si="1"/>
        <v>E6876424--</v>
      </c>
      <c r="C102" s="2" t="s">
        <v>1757</v>
      </c>
      <c r="D102" s="2" t="s">
        <v>1758</v>
      </c>
      <c r="E102" s="2" t="s">
        <v>1759</v>
      </c>
      <c r="F102" s="2" t="s">
        <v>1760</v>
      </c>
      <c r="G102" s="2" t="s">
        <v>2549</v>
      </c>
      <c r="H102" s="2" t="s">
        <v>1761</v>
      </c>
      <c r="I102" s="2"/>
      <c r="J102" s="2"/>
      <c r="K102" s="2" t="s">
        <v>1312</v>
      </c>
      <c r="L102" s="2"/>
      <c r="M102" s="2"/>
      <c r="N102" s="2"/>
      <c r="O102" s="2"/>
      <c r="P102" s="2"/>
      <c r="Q102" s="2"/>
      <c r="R102" s="2"/>
      <c r="S102" s="2"/>
      <c r="T102" s="2" t="s">
        <v>2041</v>
      </c>
    </row>
    <row r="103" spans="1:20" ht="45" hidden="1" x14ac:dyDescent="0.25">
      <c r="A103" t="e">
        <f>INDEX('Orig (V1_BCK)'!$C:$C,MATCH($B103,'Orig (V1_BCK)'!$C:$C,0),1)</f>
        <v>#N/A</v>
      </c>
      <c r="B103" s="3" t="str">
        <f t="shared" si="1"/>
        <v>E7056396--</v>
      </c>
      <c r="C103" s="2" t="s">
        <v>1549</v>
      </c>
      <c r="D103" s="2" t="s">
        <v>910</v>
      </c>
      <c r="E103" s="2" t="s">
        <v>1550</v>
      </c>
      <c r="F103" s="2" t="s">
        <v>691</v>
      </c>
      <c r="G103" s="2" t="s">
        <v>2488</v>
      </c>
      <c r="H103" s="2" t="s">
        <v>1551</v>
      </c>
      <c r="I103" s="2"/>
      <c r="J103" s="2"/>
      <c r="K103" s="2" t="s">
        <v>1312</v>
      </c>
      <c r="L103" s="2"/>
      <c r="M103" s="2"/>
      <c r="N103" s="2"/>
      <c r="O103" s="2"/>
      <c r="P103" s="2"/>
      <c r="Q103" s="2"/>
      <c r="R103" s="2"/>
      <c r="S103" s="2"/>
      <c r="T103" s="2" t="s">
        <v>2041</v>
      </c>
    </row>
    <row r="104" spans="1:20" ht="30" hidden="1" x14ac:dyDescent="0.25">
      <c r="A104" t="e">
        <f>INDEX('Orig (V1_BCK)'!$C:$C,MATCH($B104,'Orig (V1_BCK)'!$C:$C,0),1)</f>
        <v>#N/A</v>
      </c>
      <c r="B104" s="3" t="str">
        <f t="shared" si="1"/>
        <v>E7541487--</v>
      </c>
      <c r="C104" s="2" t="s">
        <v>1724</v>
      </c>
      <c r="D104" s="2" t="s">
        <v>1284</v>
      </c>
      <c r="E104" s="2" t="s">
        <v>1725</v>
      </c>
      <c r="F104" s="2" t="s">
        <v>1726</v>
      </c>
      <c r="G104" s="2" t="s">
        <v>2540</v>
      </c>
      <c r="H104" s="2" t="s">
        <v>1727</v>
      </c>
      <c r="I104" s="2"/>
      <c r="J104" s="2"/>
      <c r="K104" s="2" t="s">
        <v>1312</v>
      </c>
      <c r="L104" s="2"/>
      <c r="M104" s="2"/>
      <c r="N104" s="2"/>
      <c r="O104" s="2"/>
      <c r="P104" s="2"/>
      <c r="Q104" s="2"/>
      <c r="R104" s="2"/>
      <c r="S104" s="2"/>
      <c r="T104" s="2" t="s">
        <v>2375</v>
      </c>
    </row>
    <row r="105" spans="1:20" ht="45" hidden="1" x14ac:dyDescent="0.25">
      <c r="A105" t="e">
        <f>INDEX('Orig (V1_BCK)'!$C:$C,MATCH($B105,'Orig (V1_BCK)'!$C:$C,0),1)</f>
        <v>#N/A</v>
      </c>
      <c r="B105" s="3" t="str">
        <f t="shared" si="1"/>
        <v>E7847793--</v>
      </c>
      <c r="C105" s="2" t="s">
        <v>1810</v>
      </c>
      <c r="D105" s="2" t="s">
        <v>910</v>
      </c>
      <c r="E105" s="2" t="s">
        <v>1811</v>
      </c>
      <c r="F105" s="2" t="s">
        <v>1812</v>
      </c>
      <c r="G105" s="2" t="s">
        <v>2564</v>
      </c>
      <c r="H105" s="2" t="s">
        <v>1813</v>
      </c>
      <c r="I105" s="2"/>
      <c r="J105" s="2"/>
      <c r="K105" s="2" t="s">
        <v>1312</v>
      </c>
      <c r="L105" s="2"/>
      <c r="M105" s="2"/>
      <c r="N105" s="2"/>
      <c r="O105" s="2"/>
      <c r="P105" s="2"/>
      <c r="Q105" s="2"/>
      <c r="R105" s="2"/>
      <c r="S105" s="2"/>
      <c r="T105" s="2" t="s">
        <v>2041</v>
      </c>
    </row>
    <row r="106" spans="1:20" ht="30" hidden="1" x14ac:dyDescent="0.25">
      <c r="A106" t="e">
        <f>INDEX('Orig (V1_BCK)'!$C:$C,MATCH($B106,'Orig (V1_BCK)'!$C:$C,0),1)</f>
        <v>#N/A</v>
      </c>
      <c r="B106" s="3" t="str">
        <f t="shared" si="1"/>
        <v>E8315205--</v>
      </c>
      <c r="C106" s="2" t="s">
        <v>1232</v>
      </c>
      <c r="D106" s="2" t="s">
        <v>1233</v>
      </c>
      <c r="E106" s="2" t="s">
        <v>74</v>
      </c>
      <c r="F106" s="2" t="s">
        <v>1171</v>
      </c>
      <c r="G106" s="2" t="s">
        <v>2619</v>
      </c>
      <c r="H106" s="2" t="s">
        <v>1986</v>
      </c>
      <c r="I106" s="2"/>
      <c r="J106" s="2"/>
      <c r="K106" s="2" t="s">
        <v>1312</v>
      </c>
      <c r="L106" s="2"/>
      <c r="M106" s="2"/>
      <c r="N106" s="2"/>
      <c r="O106" s="2"/>
      <c r="P106" s="2"/>
      <c r="Q106" s="2"/>
      <c r="R106" s="2"/>
      <c r="S106" s="2"/>
      <c r="T106" s="2" t="s">
        <v>47</v>
      </c>
    </row>
    <row r="107" spans="1:20" ht="30" hidden="1" x14ac:dyDescent="0.25">
      <c r="A107" t="e">
        <f>INDEX('Orig (V1_BCK)'!$C:$C,MATCH($B107,'Orig (V1_BCK)'!$C:$C,0),1)</f>
        <v>#N/A</v>
      </c>
      <c r="B107" s="3" t="str">
        <f t="shared" si="1"/>
        <v>E9548683--</v>
      </c>
      <c r="C107" s="2" t="s">
        <v>1908</v>
      </c>
      <c r="D107" s="2" t="s">
        <v>1909</v>
      </c>
      <c r="E107" s="2" t="s">
        <v>106</v>
      </c>
      <c r="F107" s="2" t="s">
        <v>1910</v>
      </c>
      <c r="G107" s="2" t="s">
        <v>2593</v>
      </c>
      <c r="H107" s="2" t="s">
        <v>1911</v>
      </c>
      <c r="I107" s="2"/>
      <c r="J107" s="2"/>
      <c r="K107" s="2" t="s">
        <v>1312</v>
      </c>
      <c r="L107" s="2"/>
      <c r="M107" s="2"/>
      <c r="N107" s="2"/>
      <c r="O107" s="2"/>
      <c r="P107" s="2"/>
      <c r="Q107" s="2"/>
      <c r="R107" s="2"/>
      <c r="S107" s="2"/>
      <c r="T107" s="2" t="s">
        <v>2041</v>
      </c>
    </row>
    <row r="108" spans="1:20" ht="30" hidden="1" x14ac:dyDescent="0.25">
      <c r="A108" t="e">
        <f>INDEX('Orig (V1_BCK)'!$C:$C,MATCH($B108,'Orig (V1_BCK)'!$C:$C,0),1)</f>
        <v>#N/A</v>
      </c>
      <c r="B108" s="3" t="str">
        <f t="shared" si="1"/>
        <v>E9591653--</v>
      </c>
      <c r="C108" s="2" t="s">
        <v>1618</v>
      </c>
      <c r="D108" s="2" t="s">
        <v>1619</v>
      </c>
      <c r="E108" s="2" t="s">
        <v>1620</v>
      </c>
      <c r="F108" s="2" t="s">
        <v>1621</v>
      </c>
      <c r="G108" s="2" t="s">
        <v>2508</v>
      </c>
      <c r="H108" s="2" t="s">
        <v>1622</v>
      </c>
      <c r="I108" s="2"/>
      <c r="J108" s="2"/>
      <c r="K108" s="2" t="s">
        <v>1312</v>
      </c>
      <c r="L108" s="2"/>
      <c r="M108" s="2"/>
      <c r="N108" s="2"/>
      <c r="O108" s="2"/>
      <c r="P108" s="2"/>
      <c r="Q108" s="2"/>
      <c r="R108" s="2"/>
      <c r="S108" s="2"/>
      <c r="T108" s="2" t="s">
        <v>2041</v>
      </c>
    </row>
    <row r="109" spans="1:20" hidden="1" x14ac:dyDescent="0.25">
      <c r="A109" t="str">
        <f>INDEX('Orig (V1_BCK)'!$C:$C,MATCH($B109,'Orig (V1_BCK)'!$C:$C,0),1)</f>
        <v>F1158861-F1158861-</v>
      </c>
      <c r="B109" s="3" t="str">
        <f t="shared" si="1"/>
        <v>F1158861-F1158861-</v>
      </c>
      <c r="C109" s="2" t="s">
        <v>901</v>
      </c>
      <c r="D109" s="2" t="s">
        <v>43</v>
      </c>
      <c r="E109" s="2" t="s">
        <v>29</v>
      </c>
      <c r="F109" s="2" t="s">
        <v>902</v>
      </c>
      <c r="G109" s="2" t="s">
        <v>2253</v>
      </c>
      <c r="H109" s="2" t="s">
        <v>903</v>
      </c>
      <c r="I109" s="2" t="s">
        <v>901</v>
      </c>
      <c r="J109" s="2"/>
      <c r="K109" s="2" t="s">
        <v>2254</v>
      </c>
      <c r="L109" s="2" t="s">
        <v>43</v>
      </c>
      <c r="M109" s="2"/>
      <c r="N109" s="2" t="s">
        <v>29</v>
      </c>
      <c r="O109" s="2"/>
      <c r="P109" s="2" t="s">
        <v>902</v>
      </c>
      <c r="Q109" s="2"/>
      <c r="R109" s="2"/>
      <c r="S109" s="2"/>
      <c r="T109" s="2" t="s">
        <v>2038</v>
      </c>
    </row>
    <row r="110" spans="1:20" ht="45" hidden="1" x14ac:dyDescent="0.25">
      <c r="A110" t="str">
        <f>INDEX('Orig (V1_BCK)'!$C:$C,MATCH($B110,'Orig (V1_BCK)'!$C:$C,0),1)</f>
        <v>F1270653-F1270653-</v>
      </c>
      <c r="B110" s="3" t="str">
        <f t="shared" si="1"/>
        <v>F1270653-F1270653-</v>
      </c>
      <c r="C110" s="2" t="s">
        <v>948</v>
      </c>
      <c r="D110" s="2" t="s">
        <v>43</v>
      </c>
      <c r="E110" s="2" t="s">
        <v>949</v>
      </c>
      <c r="F110" s="2" t="s">
        <v>29</v>
      </c>
      <c r="G110" s="2" t="s">
        <v>2271</v>
      </c>
      <c r="H110" s="2" t="s">
        <v>950</v>
      </c>
      <c r="I110" s="2" t="s">
        <v>948</v>
      </c>
      <c r="J110" s="2"/>
      <c r="K110" s="2" t="s">
        <v>2272</v>
      </c>
      <c r="L110" s="2" t="s">
        <v>43</v>
      </c>
      <c r="M110" s="2"/>
      <c r="N110" s="2" t="s">
        <v>949</v>
      </c>
      <c r="O110" s="2"/>
      <c r="P110" s="2" t="s">
        <v>29</v>
      </c>
      <c r="Q110" s="2"/>
      <c r="R110" s="2"/>
      <c r="S110" s="2"/>
      <c r="T110" s="2" t="s">
        <v>2041</v>
      </c>
    </row>
    <row r="111" spans="1:20" ht="30" hidden="1" x14ac:dyDescent="0.25">
      <c r="A111" t="str">
        <f>INDEX('Orig (V1_BCK)'!$C:$C,MATCH($B111,'Orig (V1_BCK)'!$C:$C,0),1)</f>
        <v>F1775183-F1775183-</v>
      </c>
      <c r="B111" s="3" t="str">
        <f t="shared" si="1"/>
        <v>F1775183-F1775183-</v>
      </c>
      <c r="C111" s="2" t="s">
        <v>1012</v>
      </c>
      <c r="D111" s="2" t="s">
        <v>1007</v>
      </c>
      <c r="E111" s="2" t="s">
        <v>463</v>
      </c>
      <c r="F111" s="2" t="s">
        <v>1013</v>
      </c>
      <c r="G111" s="2" t="s">
        <v>2303</v>
      </c>
      <c r="H111" s="2" t="s">
        <v>1014</v>
      </c>
      <c r="I111" s="2" t="s">
        <v>1012</v>
      </c>
      <c r="J111" s="2"/>
      <c r="K111" s="2" t="s">
        <v>2304</v>
      </c>
      <c r="L111" s="2" t="s">
        <v>1007</v>
      </c>
      <c r="M111" s="2"/>
      <c r="N111" s="2" t="s">
        <v>463</v>
      </c>
      <c r="O111" s="2"/>
      <c r="P111" s="2" t="s">
        <v>1013</v>
      </c>
      <c r="Q111" s="2"/>
      <c r="R111" s="2"/>
      <c r="S111" s="2"/>
      <c r="T111" s="2" t="s">
        <v>2038</v>
      </c>
    </row>
    <row r="112" spans="1:20" hidden="1" x14ac:dyDescent="0.25">
      <c r="A112" t="str">
        <f>INDEX('Orig (V1_BCK)'!$C:$C,MATCH($B112,'Orig (V1_BCK)'!$C:$C,0),1)</f>
        <v>F1960010--A2422013</v>
      </c>
      <c r="B112" s="3" t="str">
        <f t="shared" si="1"/>
        <v>F1960010--A2422013</v>
      </c>
      <c r="C112" s="2" t="s">
        <v>1006</v>
      </c>
      <c r="D112" s="2" t="s">
        <v>1007</v>
      </c>
      <c r="E112" s="2" t="s">
        <v>1008</v>
      </c>
      <c r="F112" s="2" t="s">
        <v>1009</v>
      </c>
      <c r="G112" s="2" t="s">
        <v>2300</v>
      </c>
      <c r="H112" s="2" t="s">
        <v>2300</v>
      </c>
      <c r="I112" s="2"/>
      <c r="J112" s="2" t="s">
        <v>575</v>
      </c>
      <c r="K112" s="2" t="s">
        <v>2138</v>
      </c>
      <c r="L112" s="2"/>
      <c r="M112" s="2" t="s">
        <v>576</v>
      </c>
      <c r="N112" s="2"/>
      <c r="O112" s="2" t="s">
        <v>577</v>
      </c>
      <c r="P112" s="2"/>
      <c r="Q112" s="2" t="s">
        <v>578</v>
      </c>
      <c r="R112" s="2"/>
      <c r="S112" s="2"/>
      <c r="T112" s="2" t="s">
        <v>2083</v>
      </c>
    </row>
    <row r="113" spans="1:20" ht="45" hidden="1" x14ac:dyDescent="0.25">
      <c r="A113" t="e">
        <f>INDEX('Orig (V1_BCK)'!$C:$C,MATCH($B113,'Orig (V1_BCK)'!$C:$C,0),1)</f>
        <v>#N/A</v>
      </c>
      <c r="B113" s="3" t="str">
        <f t="shared" si="1"/>
        <v>F2472571--</v>
      </c>
      <c r="C113" s="2" t="s">
        <v>1623</v>
      </c>
      <c r="D113" s="2" t="s">
        <v>38</v>
      </c>
      <c r="E113" s="2" t="s">
        <v>8</v>
      </c>
      <c r="F113" s="2" t="s">
        <v>1624</v>
      </c>
      <c r="G113" s="2" t="s">
        <v>2509</v>
      </c>
      <c r="H113" s="2" t="s">
        <v>1625</v>
      </c>
      <c r="I113" s="2"/>
      <c r="J113" s="2"/>
      <c r="K113" s="2" t="s">
        <v>1312</v>
      </c>
      <c r="L113" s="2"/>
      <c r="M113" s="2"/>
      <c r="N113" s="2"/>
      <c r="O113" s="2"/>
      <c r="P113" s="2"/>
      <c r="Q113" s="2"/>
      <c r="R113" s="2"/>
      <c r="S113" s="2"/>
      <c r="T113" s="2" t="s">
        <v>2041</v>
      </c>
    </row>
    <row r="114" spans="1:20" ht="30" hidden="1" x14ac:dyDescent="0.25">
      <c r="A114" t="e">
        <f>INDEX('Orig (V1_BCK)'!$C:$C,MATCH($B114,'Orig (V1_BCK)'!$C:$C,0),1)</f>
        <v>#N/A</v>
      </c>
      <c r="B114" s="3" t="str">
        <f t="shared" si="1"/>
        <v>F2779804--</v>
      </c>
      <c r="C114" s="2" t="s">
        <v>1590</v>
      </c>
      <c r="D114" s="2" t="s">
        <v>1591</v>
      </c>
      <c r="E114" s="2" t="s">
        <v>1592</v>
      </c>
      <c r="F114" s="2" t="s">
        <v>1593</v>
      </c>
      <c r="G114" s="2" t="s">
        <v>2500</v>
      </c>
      <c r="H114" s="2" t="s">
        <v>1594</v>
      </c>
      <c r="I114" s="2"/>
      <c r="J114" s="2"/>
      <c r="K114" s="2" t="s">
        <v>1312</v>
      </c>
      <c r="L114" s="2"/>
      <c r="M114" s="2"/>
      <c r="N114" s="2"/>
      <c r="O114" s="2"/>
      <c r="P114" s="2"/>
      <c r="Q114" s="2"/>
      <c r="R114" s="2"/>
      <c r="S114" s="2"/>
      <c r="T114" s="2" t="s">
        <v>2437</v>
      </c>
    </row>
    <row r="115" spans="1:20" ht="45" hidden="1" x14ac:dyDescent="0.25">
      <c r="A115" t="str">
        <f>INDEX('Orig (V1_BCK)'!$C:$C,MATCH($B115,'Orig (V1_BCK)'!$C:$C,0),1)</f>
        <v>F2867294-F2867294-</v>
      </c>
      <c r="B115" s="3" t="str">
        <f t="shared" si="1"/>
        <v>F2867294-F2867294-</v>
      </c>
      <c r="C115" s="2" t="s">
        <v>1134</v>
      </c>
      <c r="D115" s="2" t="s">
        <v>1135</v>
      </c>
      <c r="E115" s="2" t="s">
        <v>16</v>
      </c>
      <c r="F115" s="2" t="s">
        <v>1136</v>
      </c>
      <c r="G115" s="2" t="s">
        <v>2362</v>
      </c>
      <c r="H115" s="2" t="s">
        <v>614</v>
      </c>
      <c r="I115" s="2" t="s">
        <v>1134</v>
      </c>
      <c r="J115" s="2"/>
      <c r="K115" s="2" t="s">
        <v>2363</v>
      </c>
      <c r="L115" s="2" t="s">
        <v>1135</v>
      </c>
      <c r="M115" s="2"/>
      <c r="N115" s="2" t="s">
        <v>16</v>
      </c>
      <c r="O115" s="2"/>
      <c r="P115" s="2" t="s">
        <v>1136</v>
      </c>
      <c r="Q115" s="2"/>
      <c r="R115" s="2"/>
      <c r="S115" s="2"/>
      <c r="T115" s="2" t="s">
        <v>2080</v>
      </c>
    </row>
    <row r="116" spans="1:20" ht="30" hidden="1" x14ac:dyDescent="0.25">
      <c r="A116" t="e">
        <f>INDEX('Orig (V1_BCK)'!$C:$C,MATCH($B116,'Orig (V1_BCK)'!$C:$C,0),1)</f>
        <v>#N/A</v>
      </c>
      <c r="B116" s="3" t="str">
        <f t="shared" si="1"/>
        <v>F3378742--</v>
      </c>
      <c r="C116" s="2" t="s">
        <v>1614</v>
      </c>
      <c r="D116" s="2" t="s">
        <v>43</v>
      </c>
      <c r="E116" s="2" t="s">
        <v>1615</v>
      </c>
      <c r="F116" s="2" t="s">
        <v>1616</v>
      </c>
      <c r="G116" s="2" t="s">
        <v>2507</v>
      </c>
      <c r="H116" s="2" t="s">
        <v>1617</v>
      </c>
      <c r="I116" s="2"/>
      <c r="J116" s="2"/>
      <c r="K116" s="2" t="s">
        <v>1312</v>
      </c>
      <c r="L116" s="2"/>
      <c r="M116" s="2"/>
      <c r="N116" s="2"/>
      <c r="O116" s="2"/>
      <c r="P116" s="2"/>
      <c r="Q116" s="2"/>
      <c r="R116" s="2"/>
      <c r="S116" s="2"/>
      <c r="T116" s="2" t="s">
        <v>2375</v>
      </c>
    </row>
    <row r="117" spans="1:20" ht="30" hidden="1" x14ac:dyDescent="0.25">
      <c r="A117" t="str">
        <f>INDEX('Orig (V1_BCK)'!$C:$C,MATCH($B117,'Orig (V1_BCK)'!$C:$C,0),1)</f>
        <v>F3680745--A9859396</v>
      </c>
      <c r="B117" s="3" t="str">
        <f t="shared" si="1"/>
        <v>F3680745--A9859396</v>
      </c>
      <c r="C117" s="2" t="s">
        <v>986</v>
      </c>
      <c r="D117" s="2" t="s">
        <v>987</v>
      </c>
      <c r="E117" s="2" t="s">
        <v>521</v>
      </c>
      <c r="F117" s="2" t="s">
        <v>29</v>
      </c>
      <c r="G117" s="2" t="s">
        <v>2290</v>
      </c>
      <c r="H117" s="2" t="s">
        <v>988</v>
      </c>
      <c r="I117" s="2"/>
      <c r="J117" s="2" t="s">
        <v>911</v>
      </c>
      <c r="K117" s="2" t="s">
        <v>2257</v>
      </c>
      <c r="L117" s="2"/>
      <c r="M117" s="2" t="s">
        <v>912</v>
      </c>
      <c r="N117" s="2"/>
      <c r="O117" s="2" t="s">
        <v>913</v>
      </c>
      <c r="P117" s="2"/>
      <c r="Q117" s="2" t="s">
        <v>30</v>
      </c>
      <c r="R117" s="2"/>
      <c r="S117" s="2"/>
      <c r="T117" s="2" t="s">
        <v>2083</v>
      </c>
    </row>
    <row r="118" spans="1:20" ht="30" hidden="1" x14ac:dyDescent="0.25">
      <c r="A118" t="str">
        <f>INDEX('Orig (V1_BCK)'!$C:$C,MATCH($B118,'Orig (V1_BCK)'!$C:$C,0),1)</f>
        <v>F4038832-F4038832-</v>
      </c>
      <c r="B118" s="3" t="str">
        <f t="shared" si="1"/>
        <v>F4038832-F4038832-</v>
      </c>
      <c r="C118" s="2" t="s">
        <v>1093</v>
      </c>
      <c r="D118" s="2" t="s">
        <v>1094</v>
      </c>
      <c r="E118" s="2" t="s">
        <v>1095</v>
      </c>
      <c r="F118" s="2" t="s">
        <v>1096</v>
      </c>
      <c r="G118" s="2" t="s">
        <v>2344</v>
      </c>
      <c r="H118" s="2" t="s">
        <v>1097</v>
      </c>
      <c r="I118" s="2" t="s">
        <v>1093</v>
      </c>
      <c r="J118" s="2"/>
      <c r="K118" s="2" t="s">
        <v>2345</v>
      </c>
      <c r="L118" s="2" t="s">
        <v>1094</v>
      </c>
      <c r="M118" s="2"/>
      <c r="N118" s="2" t="s">
        <v>1095</v>
      </c>
      <c r="O118" s="2"/>
      <c r="P118" s="2" t="s">
        <v>1096</v>
      </c>
      <c r="Q118" s="2"/>
      <c r="R118" s="2"/>
      <c r="S118" s="2"/>
      <c r="T118" s="2" t="s">
        <v>2038</v>
      </c>
    </row>
    <row r="119" spans="1:20" ht="45" hidden="1" x14ac:dyDescent="0.25">
      <c r="A119" t="e">
        <f>INDEX('Orig (V1_BCK)'!$C:$C,MATCH($B119,'Orig (V1_BCK)'!$C:$C,0),1)</f>
        <v>#N/A</v>
      </c>
      <c r="B119" s="3" t="str">
        <f t="shared" si="1"/>
        <v>F4694934--</v>
      </c>
      <c r="C119" s="2" t="s">
        <v>1685</v>
      </c>
      <c r="D119" s="2" t="s">
        <v>703</v>
      </c>
      <c r="E119" s="2" t="s">
        <v>1686</v>
      </c>
      <c r="F119" s="2" t="s">
        <v>1687</v>
      </c>
      <c r="G119" s="2" t="s">
        <v>2528</v>
      </c>
      <c r="H119" s="2" t="s">
        <v>1688</v>
      </c>
      <c r="I119" s="2"/>
      <c r="J119" s="2"/>
      <c r="K119" s="2" t="s">
        <v>1312</v>
      </c>
      <c r="L119" s="2"/>
      <c r="M119" s="2"/>
      <c r="N119" s="2"/>
      <c r="O119" s="2"/>
      <c r="P119" s="2"/>
      <c r="Q119" s="2"/>
      <c r="R119" s="2"/>
      <c r="S119" s="2"/>
      <c r="T119" s="2" t="s">
        <v>2375</v>
      </c>
    </row>
    <row r="120" spans="1:20" ht="30" hidden="1" x14ac:dyDescent="0.25">
      <c r="A120" t="str">
        <f>INDEX('Orig (V1_BCK)'!$C:$C,MATCH($B120,'Orig (V1_BCK)'!$C:$C,0),1)</f>
        <v>F5049139-F5049139-</v>
      </c>
      <c r="B120" s="3" t="str">
        <f t="shared" si="1"/>
        <v>F5049139-F5049139-</v>
      </c>
      <c r="C120" s="2" t="s">
        <v>449</v>
      </c>
      <c r="D120" s="2" t="s">
        <v>38</v>
      </c>
      <c r="E120" s="2" t="s">
        <v>450</v>
      </c>
      <c r="F120" s="2" t="s">
        <v>451</v>
      </c>
      <c r="G120" s="2" t="s">
        <v>2084</v>
      </c>
      <c r="H120" s="2" t="s">
        <v>452</v>
      </c>
      <c r="I120" s="2" t="s">
        <v>449</v>
      </c>
      <c r="J120" s="2"/>
      <c r="K120" s="2" t="s">
        <v>2085</v>
      </c>
      <c r="L120" s="2" t="s">
        <v>38</v>
      </c>
      <c r="M120" s="2"/>
      <c r="N120" s="2" t="s">
        <v>450</v>
      </c>
      <c r="O120" s="2"/>
      <c r="P120" s="2" t="s">
        <v>451</v>
      </c>
      <c r="Q120" s="2"/>
      <c r="R120" s="2"/>
      <c r="S120" s="2"/>
      <c r="T120" s="2" t="s">
        <v>2080</v>
      </c>
    </row>
    <row r="121" spans="1:20" hidden="1" x14ac:dyDescent="0.25">
      <c r="A121" t="str">
        <f>INDEX('Orig (V1_BCK)'!$C:$C,MATCH($B121,'Orig (V1_BCK)'!$C:$C,0),1)</f>
        <v>F5762639--M1155913</v>
      </c>
      <c r="B121" s="3" t="str">
        <f t="shared" si="1"/>
        <v>F5762639--M1155913</v>
      </c>
      <c r="C121" s="2" t="s">
        <v>875</v>
      </c>
      <c r="D121" s="2" t="s">
        <v>876</v>
      </c>
      <c r="E121" s="2" t="s">
        <v>877</v>
      </c>
      <c r="F121" s="2" t="s">
        <v>878</v>
      </c>
      <c r="G121" s="2" t="s">
        <v>2243</v>
      </c>
      <c r="H121" s="2" t="s">
        <v>2243</v>
      </c>
      <c r="I121" s="2"/>
      <c r="J121" s="2" t="s">
        <v>868</v>
      </c>
      <c r="K121" s="2" t="s">
        <v>2240</v>
      </c>
      <c r="L121" s="2"/>
      <c r="M121" s="2" t="s">
        <v>6</v>
      </c>
      <c r="N121" s="2"/>
      <c r="O121" s="2" t="s">
        <v>798</v>
      </c>
      <c r="P121" s="2"/>
      <c r="Q121" s="2" t="s">
        <v>869</v>
      </c>
      <c r="R121" s="2"/>
      <c r="S121" s="2"/>
      <c r="T121" s="2" t="s">
        <v>2083</v>
      </c>
    </row>
    <row r="122" spans="1:20" ht="30" hidden="1" x14ac:dyDescent="0.25">
      <c r="A122" t="str">
        <f>INDEX('Orig (V1_BCK)'!$C:$C,MATCH($B122,'Orig (V1_BCK)'!$C:$C,0),1)</f>
        <v>F6446981--A3167958</v>
      </c>
      <c r="B122" s="3" t="str">
        <f t="shared" si="1"/>
        <v>F6446981--A3167958</v>
      </c>
      <c r="C122" s="2" t="s">
        <v>636</v>
      </c>
      <c r="D122" s="2" t="s">
        <v>637</v>
      </c>
      <c r="E122" s="2" t="s">
        <v>496</v>
      </c>
      <c r="F122" s="2" t="s">
        <v>638</v>
      </c>
      <c r="G122" s="2" t="s">
        <v>2162</v>
      </c>
      <c r="H122" s="2" t="s">
        <v>639</v>
      </c>
      <c r="I122" s="2"/>
      <c r="J122" s="2" t="s">
        <v>640</v>
      </c>
      <c r="K122" s="2" t="s">
        <v>2163</v>
      </c>
      <c r="L122" s="2"/>
      <c r="M122" s="2" t="s">
        <v>68</v>
      </c>
      <c r="N122" s="2"/>
      <c r="O122" s="2" t="s">
        <v>549</v>
      </c>
      <c r="P122" s="2"/>
      <c r="Q122" s="2" t="s">
        <v>12</v>
      </c>
      <c r="R122" s="2"/>
      <c r="S122" s="2"/>
      <c r="T122" s="2" t="s">
        <v>2083</v>
      </c>
    </row>
    <row r="123" spans="1:20" ht="30" hidden="1" x14ac:dyDescent="0.25">
      <c r="A123" t="str">
        <f>INDEX('Orig (V1_BCK)'!$C:$C,MATCH($B123,'Orig (V1_BCK)'!$C:$C,0),1)</f>
        <v>F7394324-F7394324-</v>
      </c>
      <c r="B123" s="3" t="str">
        <f t="shared" si="1"/>
        <v>F7394324-F7394324-</v>
      </c>
      <c r="C123" s="2" t="s">
        <v>1044</v>
      </c>
      <c r="D123" s="2" t="s">
        <v>2319</v>
      </c>
      <c r="E123" s="2" t="s">
        <v>29</v>
      </c>
      <c r="F123" s="2" t="s">
        <v>546</v>
      </c>
      <c r="G123" s="2" t="s">
        <v>2320</v>
      </c>
      <c r="H123" s="2" t="s">
        <v>1045</v>
      </c>
      <c r="I123" s="2" t="s">
        <v>1044</v>
      </c>
      <c r="J123" s="2"/>
      <c r="K123" s="2" t="s">
        <v>2321</v>
      </c>
      <c r="L123" s="2" t="s">
        <v>2319</v>
      </c>
      <c r="M123" s="2"/>
      <c r="N123" s="2" t="s">
        <v>29</v>
      </c>
      <c r="O123" s="2"/>
      <c r="P123" s="2" t="s">
        <v>546</v>
      </c>
      <c r="Q123" s="2"/>
      <c r="R123" s="2"/>
      <c r="S123" s="2"/>
      <c r="T123" s="2" t="s">
        <v>2071</v>
      </c>
    </row>
    <row r="124" spans="1:20" ht="30" hidden="1" x14ac:dyDescent="0.25">
      <c r="A124" t="str">
        <f>INDEX('Orig (V1_BCK)'!$C:$C,MATCH($B124,'Orig (V1_BCK)'!$C:$C,0),1)</f>
        <v>F7796330--B2149319</v>
      </c>
      <c r="B124" s="3" t="str">
        <f t="shared" si="1"/>
        <v>F7796330--B2149319</v>
      </c>
      <c r="C124" s="2" t="s">
        <v>527</v>
      </c>
      <c r="D124" s="2" t="s">
        <v>38</v>
      </c>
      <c r="E124" s="2" t="s">
        <v>528</v>
      </c>
      <c r="F124" s="2" t="s">
        <v>529</v>
      </c>
      <c r="G124" s="2" t="s">
        <v>2117</v>
      </c>
      <c r="H124" s="2" t="s">
        <v>530</v>
      </c>
      <c r="I124" s="2"/>
      <c r="J124" s="2" t="s">
        <v>531</v>
      </c>
      <c r="K124" s="2" t="s">
        <v>2118</v>
      </c>
      <c r="L124" s="2"/>
      <c r="M124" s="2" t="s">
        <v>532</v>
      </c>
      <c r="N124" s="2"/>
      <c r="O124" s="2" t="s">
        <v>21</v>
      </c>
      <c r="P124" s="2"/>
      <c r="Q124" s="2" t="s">
        <v>533</v>
      </c>
      <c r="R124" s="2"/>
      <c r="S124" s="2"/>
      <c r="T124" s="2" t="s">
        <v>2071</v>
      </c>
    </row>
    <row r="125" spans="1:20" hidden="1" x14ac:dyDescent="0.25">
      <c r="A125" t="e">
        <f>INDEX('Orig (V1_BCK)'!$C:$C,MATCH($B125,'Orig (V1_BCK)'!$C:$C,0),1)</f>
        <v>#N/A</v>
      </c>
      <c r="B125" s="3" t="str">
        <f t="shared" si="1"/>
        <v>F8076056--</v>
      </c>
      <c r="C125" s="2" t="s">
        <v>1935</v>
      </c>
      <c r="D125" s="2" t="s">
        <v>43</v>
      </c>
      <c r="E125" s="2" t="s">
        <v>444</v>
      </c>
      <c r="F125" s="2" t="s">
        <v>1936</v>
      </c>
      <c r="G125" s="2" t="s">
        <v>2602</v>
      </c>
      <c r="H125" s="2" t="s">
        <v>2602</v>
      </c>
      <c r="I125" s="2"/>
      <c r="J125" s="2"/>
      <c r="K125" s="2" t="s">
        <v>1312</v>
      </c>
      <c r="L125" s="2"/>
      <c r="M125" s="2"/>
      <c r="N125" s="2"/>
      <c r="O125" s="2"/>
      <c r="P125" s="2"/>
      <c r="Q125" s="2"/>
      <c r="R125" s="2"/>
      <c r="S125" s="2"/>
      <c r="T125" s="2" t="s">
        <v>2038</v>
      </c>
    </row>
    <row r="126" spans="1:20" ht="30" hidden="1" x14ac:dyDescent="0.25">
      <c r="A126" t="str">
        <f>INDEX('Orig (V1_BCK)'!$C:$C,MATCH($B126,'Orig (V1_BCK)'!$C:$C,0),1)</f>
        <v>F8146290-F8146290-</v>
      </c>
      <c r="B126" s="3" t="str">
        <f t="shared" si="1"/>
        <v>F8146290-F8146290-</v>
      </c>
      <c r="C126" s="2" t="s">
        <v>37</v>
      </c>
      <c r="D126" s="2" t="s">
        <v>38</v>
      </c>
      <c r="E126" s="2" t="s">
        <v>39</v>
      </c>
      <c r="F126" s="2" t="s">
        <v>40</v>
      </c>
      <c r="G126" s="2" t="s">
        <v>2049</v>
      </c>
      <c r="H126" s="2" t="s">
        <v>41</v>
      </c>
      <c r="I126" s="2" t="s">
        <v>37</v>
      </c>
      <c r="J126" s="2"/>
      <c r="K126" s="2" t="s">
        <v>2050</v>
      </c>
      <c r="L126" s="2" t="s">
        <v>38</v>
      </c>
      <c r="M126" s="2"/>
      <c r="N126" s="2" t="s">
        <v>39</v>
      </c>
      <c r="O126" s="2"/>
      <c r="P126" s="2" t="s">
        <v>40</v>
      </c>
      <c r="Q126" s="2"/>
      <c r="R126" s="2"/>
      <c r="S126" s="2"/>
      <c r="T126" s="2" t="s">
        <v>2038</v>
      </c>
    </row>
    <row r="127" spans="1:20" ht="45" hidden="1" x14ac:dyDescent="0.25">
      <c r="A127" t="e">
        <f>INDEX('Orig (V1_BCK)'!$C:$C,MATCH($B127,'Orig (V1_BCK)'!$C:$C,0),1)</f>
        <v>#N/A</v>
      </c>
      <c r="B127" s="3" t="str">
        <f t="shared" si="1"/>
        <v>F8311529--</v>
      </c>
      <c r="C127" s="2" t="s">
        <v>1891</v>
      </c>
      <c r="D127" s="2" t="s">
        <v>38</v>
      </c>
      <c r="E127" s="2" t="s">
        <v>1892</v>
      </c>
      <c r="F127" s="2" t="s">
        <v>1893</v>
      </c>
      <c r="G127" s="2" t="s">
        <v>2589</v>
      </c>
      <c r="H127" s="2" t="s">
        <v>1894</v>
      </c>
      <c r="I127" s="2"/>
      <c r="J127" s="2"/>
      <c r="K127" s="2" t="s">
        <v>1312</v>
      </c>
      <c r="L127" s="2"/>
      <c r="M127" s="2"/>
      <c r="N127" s="2"/>
      <c r="O127" s="2"/>
      <c r="P127" s="2"/>
      <c r="Q127" s="2"/>
      <c r="R127" s="2"/>
      <c r="S127" s="2"/>
      <c r="T127" s="2" t="s">
        <v>2041</v>
      </c>
    </row>
    <row r="128" spans="1:20" hidden="1" x14ac:dyDescent="0.25">
      <c r="A128" t="e">
        <f>INDEX('Orig (V1_BCK)'!$C:$C,MATCH($B128,'Orig (V1_BCK)'!$C:$C,0),1)</f>
        <v>#N/A</v>
      </c>
      <c r="B128" s="3" t="str">
        <f t="shared" si="1"/>
        <v>F8903961--</v>
      </c>
      <c r="C128" s="2" t="s">
        <v>1450</v>
      </c>
      <c r="D128" s="2" t="s">
        <v>1451</v>
      </c>
      <c r="E128" s="2" t="s">
        <v>578</v>
      </c>
      <c r="F128" s="2" t="s">
        <v>1452</v>
      </c>
      <c r="G128" s="2" t="s">
        <v>2458</v>
      </c>
      <c r="H128" s="2" t="s">
        <v>1453</v>
      </c>
      <c r="I128" s="2"/>
      <c r="J128" s="2"/>
      <c r="K128" s="2" t="s">
        <v>1312</v>
      </c>
      <c r="L128" s="2"/>
      <c r="M128" s="2"/>
      <c r="N128" s="2"/>
      <c r="O128" s="2"/>
      <c r="P128" s="2"/>
      <c r="Q128" s="2"/>
      <c r="R128" s="2"/>
      <c r="S128" s="2"/>
      <c r="T128" s="2" t="s">
        <v>2375</v>
      </c>
    </row>
    <row r="129" spans="1:20" hidden="1" x14ac:dyDescent="0.25">
      <c r="A129" t="str">
        <f>INDEX('Orig (V1_BCK)'!$C:$C,MATCH($B129,'Orig (V1_BCK)'!$C:$C,0),1)</f>
        <v>F9009293-F9009293-</v>
      </c>
      <c r="B129" s="3" t="str">
        <f t="shared" si="1"/>
        <v>F9009293-F9009293-</v>
      </c>
      <c r="C129" s="2" t="s">
        <v>42</v>
      </c>
      <c r="D129" s="2" t="s">
        <v>43</v>
      </c>
      <c r="E129" s="2" t="s">
        <v>44</v>
      </c>
      <c r="F129" s="2" t="s">
        <v>45</v>
      </c>
      <c r="G129" s="2" t="s">
        <v>2051</v>
      </c>
      <c r="H129" s="2" t="s">
        <v>46</v>
      </c>
      <c r="I129" s="2" t="s">
        <v>42</v>
      </c>
      <c r="J129" s="2"/>
      <c r="K129" s="2" t="s">
        <v>2052</v>
      </c>
      <c r="L129" s="2" t="s">
        <v>43</v>
      </c>
      <c r="M129" s="2"/>
      <c r="N129" s="2" t="s">
        <v>44</v>
      </c>
      <c r="O129" s="2"/>
      <c r="P129" s="2" t="s">
        <v>45</v>
      </c>
      <c r="Q129" s="2"/>
      <c r="R129" s="2"/>
      <c r="S129" s="2"/>
      <c r="T129" s="2" t="s">
        <v>47</v>
      </c>
    </row>
    <row r="130" spans="1:20" ht="30" hidden="1" x14ac:dyDescent="0.25">
      <c r="A130" t="e">
        <f>INDEX('Orig (V1_BCK)'!$C:$C,MATCH($B130,'Orig (V1_BCK)'!$C:$C,0),1)</f>
        <v>#N/A</v>
      </c>
      <c r="B130" s="3" t="str">
        <f t="shared" si="1"/>
        <v>F9287076--</v>
      </c>
      <c r="C130" s="2" t="s">
        <v>1571</v>
      </c>
      <c r="D130" s="2" t="s">
        <v>43</v>
      </c>
      <c r="E130" s="2" t="s">
        <v>1572</v>
      </c>
      <c r="F130" s="2" t="s">
        <v>1573</v>
      </c>
      <c r="G130" s="2" t="s">
        <v>2495</v>
      </c>
      <c r="H130" s="2" t="s">
        <v>1574</v>
      </c>
      <c r="I130" s="2"/>
      <c r="J130" s="2"/>
      <c r="K130" s="2" t="s">
        <v>1312</v>
      </c>
      <c r="L130" s="2"/>
      <c r="M130" s="2"/>
      <c r="N130" s="2"/>
      <c r="O130" s="2"/>
      <c r="P130" s="2"/>
      <c r="Q130" s="2"/>
      <c r="R130" s="2"/>
      <c r="S130" s="2"/>
      <c r="T130" s="2" t="s">
        <v>107</v>
      </c>
    </row>
    <row r="131" spans="1:20" ht="30" hidden="1" x14ac:dyDescent="0.25">
      <c r="A131" t="str">
        <f>INDEX('Orig (V1_BCK)'!$C:$C,MATCH($B131,'Orig (V1_BCK)'!$C:$C,0),1)</f>
        <v>F9397311-F9397311-</v>
      </c>
      <c r="B131" s="3" t="str">
        <f t="shared" ref="B131:B194" si="2">_xlfn.TEXTJOIN("-",FALSE,$C131,$I131,$J131)</f>
        <v>F9397311-F9397311-</v>
      </c>
      <c r="C131" s="2" t="s">
        <v>1101</v>
      </c>
      <c r="D131" s="2" t="s">
        <v>1102</v>
      </c>
      <c r="E131" s="2" t="s">
        <v>1103</v>
      </c>
      <c r="F131" s="2" t="s">
        <v>1104</v>
      </c>
      <c r="G131" s="2" t="s">
        <v>2347</v>
      </c>
      <c r="H131" s="2" t="s">
        <v>1105</v>
      </c>
      <c r="I131" s="2" t="s">
        <v>1101</v>
      </c>
      <c r="J131" s="2"/>
      <c r="K131" s="2" t="s">
        <v>2348</v>
      </c>
      <c r="L131" s="2" t="s">
        <v>1102</v>
      </c>
      <c r="M131" s="2"/>
      <c r="N131" s="2" t="s">
        <v>1103</v>
      </c>
      <c r="O131" s="2"/>
      <c r="P131" s="2" t="s">
        <v>1104</v>
      </c>
      <c r="Q131" s="2"/>
      <c r="R131" s="2"/>
      <c r="S131" s="2"/>
      <c r="T131" s="2" t="s">
        <v>2038</v>
      </c>
    </row>
    <row r="132" spans="1:20" ht="30" hidden="1" x14ac:dyDescent="0.25">
      <c r="A132" t="str">
        <f>INDEX('Orig (V1_BCK)'!$C:$C,MATCH($B132,'Orig (V1_BCK)'!$C:$C,0),1)</f>
        <v>F9551809--L7371274</v>
      </c>
      <c r="B132" s="3" t="str">
        <f t="shared" si="2"/>
        <v>F9551809--L7371274</v>
      </c>
      <c r="C132" s="2" t="s">
        <v>992</v>
      </c>
      <c r="D132" s="2" t="s">
        <v>637</v>
      </c>
      <c r="E132" s="2" t="s">
        <v>993</v>
      </c>
      <c r="F132" s="2" t="s">
        <v>55</v>
      </c>
      <c r="G132" s="2" t="s">
        <v>2292</v>
      </c>
      <c r="H132" s="2" t="s">
        <v>2292</v>
      </c>
      <c r="I132" s="2"/>
      <c r="J132" s="2" t="s">
        <v>453</v>
      </c>
      <c r="K132" s="2" t="s">
        <v>2086</v>
      </c>
      <c r="L132" s="2"/>
      <c r="M132" s="2" t="s">
        <v>454</v>
      </c>
      <c r="N132" s="2"/>
      <c r="O132" s="2" t="s">
        <v>455</v>
      </c>
      <c r="P132" s="2"/>
      <c r="Q132" s="2" t="s">
        <v>29</v>
      </c>
      <c r="R132" s="2"/>
      <c r="S132" s="2"/>
      <c r="T132" s="2" t="s">
        <v>2083</v>
      </c>
    </row>
    <row r="133" spans="1:20" hidden="1" x14ac:dyDescent="0.25">
      <c r="A133" t="e">
        <f>INDEX('Orig (V1_BCK)'!$C:$C,MATCH($B133,'Orig (V1_BCK)'!$C:$C,0),1)</f>
        <v>#N/A</v>
      </c>
      <c r="B133" s="3" t="str">
        <f t="shared" si="2"/>
        <v>F9553441--</v>
      </c>
      <c r="C133" s="2" t="s">
        <v>1468</v>
      </c>
      <c r="D133" s="2" t="s">
        <v>1007</v>
      </c>
      <c r="E133" s="2" t="s">
        <v>1469</v>
      </c>
      <c r="F133" s="2" t="s">
        <v>1201</v>
      </c>
      <c r="G133" s="2" t="s">
        <v>2463</v>
      </c>
      <c r="H133" s="2" t="s">
        <v>1470</v>
      </c>
      <c r="I133" s="2"/>
      <c r="J133" s="2"/>
      <c r="K133" s="2" t="s">
        <v>1312</v>
      </c>
      <c r="L133" s="2"/>
      <c r="M133" s="2"/>
      <c r="N133" s="2"/>
      <c r="O133" s="2"/>
      <c r="P133" s="2"/>
      <c r="Q133" s="2"/>
      <c r="R133" s="2"/>
      <c r="S133" s="2"/>
      <c r="T133" s="2" t="s">
        <v>2375</v>
      </c>
    </row>
    <row r="134" spans="1:20" hidden="1" x14ac:dyDescent="0.25">
      <c r="A134" t="str">
        <f>INDEX('Orig (V1_BCK)'!$C:$C,MATCH($B134,'Orig (V1_BCK)'!$C:$C,0),1)</f>
        <v>F9876087-F9876087-</v>
      </c>
      <c r="B134" s="3" t="str">
        <f t="shared" si="2"/>
        <v>F9876087-F9876087-</v>
      </c>
      <c r="C134" s="2" t="s">
        <v>748</v>
      </c>
      <c r="D134" s="2" t="s">
        <v>43</v>
      </c>
      <c r="E134" s="2" t="s">
        <v>749</v>
      </c>
      <c r="F134" s="2" t="s">
        <v>750</v>
      </c>
      <c r="G134" s="2" t="s">
        <v>2202</v>
      </c>
      <c r="H134" s="2" t="s">
        <v>693</v>
      </c>
      <c r="I134" s="2" t="s">
        <v>748</v>
      </c>
      <c r="J134" s="2"/>
      <c r="K134" s="2" t="s">
        <v>2203</v>
      </c>
      <c r="L134" s="2" t="s">
        <v>43</v>
      </c>
      <c r="M134" s="2"/>
      <c r="N134" s="2" t="s">
        <v>749</v>
      </c>
      <c r="O134" s="2"/>
      <c r="P134" s="2" t="s">
        <v>750</v>
      </c>
      <c r="Q134" s="2"/>
      <c r="R134" s="2"/>
      <c r="S134" s="2"/>
      <c r="T134" s="2" t="s">
        <v>2038</v>
      </c>
    </row>
    <row r="135" spans="1:20" ht="30" hidden="1" x14ac:dyDescent="0.25">
      <c r="A135" t="str">
        <f>INDEX('Orig (V1_BCK)'!$C:$C,MATCH($B135,'Orig (V1_BCK)'!$C:$C,0),1)</f>
        <v>G0003988-G0003988-</v>
      </c>
      <c r="B135" s="3" t="str">
        <f t="shared" si="2"/>
        <v>G0003988-G0003988-</v>
      </c>
      <c r="C135" s="2" t="s">
        <v>694</v>
      </c>
      <c r="D135" s="2" t="s">
        <v>695</v>
      </c>
      <c r="E135" s="2" t="s">
        <v>493</v>
      </c>
      <c r="F135" s="2" t="s">
        <v>696</v>
      </c>
      <c r="G135" s="2" t="s">
        <v>2182</v>
      </c>
      <c r="H135" s="2" t="s">
        <v>697</v>
      </c>
      <c r="I135" s="2" t="s">
        <v>694</v>
      </c>
      <c r="J135" s="2"/>
      <c r="K135" s="2" t="s">
        <v>2183</v>
      </c>
      <c r="L135" s="2" t="s">
        <v>695</v>
      </c>
      <c r="M135" s="2"/>
      <c r="N135" s="2" t="s">
        <v>493</v>
      </c>
      <c r="O135" s="2"/>
      <c r="P135" s="2" t="s">
        <v>696</v>
      </c>
      <c r="Q135" s="2"/>
      <c r="R135" s="2"/>
      <c r="S135" s="2"/>
      <c r="T135" s="2" t="s">
        <v>2038</v>
      </c>
    </row>
    <row r="136" spans="1:20" ht="30" hidden="1" x14ac:dyDescent="0.25">
      <c r="A136" t="str">
        <f>INDEX('Orig (V1_BCK)'!$C:$C,MATCH($B136,'Orig (V1_BCK)'!$C:$C,0),1)</f>
        <v>G0003988-J9873482-</v>
      </c>
      <c r="B136" s="3" t="str">
        <f t="shared" si="2"/>
        <v>G0003988-J9873482-</v>
      </c>
      <c r="C136" s="2" t="s">
        <v>694</v>
      </c>
      <c r="D136" s="2" t="s">
        <v>695</v>
      </c>
      <c r="E136" s="2" t="s">
        <v>493</v>
      </c>
      <c r="F136" s="2" t="s">
        <v>696</v>
      </c>
      <c r="G136" s="2" t="s">
        <v>2182</v>
      </c>
      <c r="H136" s="2" t="s">
        <v>697</v>
      </c>
      <c r="I136" s="2" t="s">
        <v>698</v>
      </c>
      <c r="J136" s="2"/>
      <c r="K136" s="2" t="s">
        <v>2183</v>
      </c>
      <c r="L136" s="2" t="s">
        <v>699</v>
      </c>
      <c r="M136" s="2"/>
      <c r="N136" s="2" t="s">
        <v>700</v>
      </c>
      <c r="O136" s="2"/>
      <c r="P136" s="2" t="s">
        <v>701</v>
      </c>
      <c r="Q136" s="2"/>
      <c r="R136" s="2"/>
      <c r="S136" s="2"/>
      <c r="T136" s="2" t="s">
        <v>2038</v>
      </c>
    </row>
    <row r="137" spans="1:20" hidden="1" x14ac:dyDescent="0.25">
      <c r="A137" t="str">
        <f>INDEX('Orig (V1_BCK)'!$C:$C,MATCH($B137,'Orig (V1_BCK)'!$C:$C,0),1)</f>
        <v>G1309777-G1309777-</v>
      </c>
      <c r="B137" s="3" t="str">
        <f t="shared" si="2"/>
        <v>G1309777-G1309777-</v>
      </c>
      <c r="C137" s="2" t="s">
        <v>62</v>
      </c>
      <c r="D137" s="2" t="s">
        <v>63</v>
      </c>
      <c r="E137" s="2" t="s">
        <v>64</v>
      </c>
      <c r="F137" s="2" t="s">
        <v>65</v>
      </c>
      <c r="G137" s="2" t="s">
        <v>2059</v>
      </c>
      <c r="H137" s="2" t="s">
        <v>66</v>
      </c>
      <c r="I137" s="2" t="s">
        <v>62</v>
      </c>
      <c r="J137" s="2"/>
      <c r="K137" s="2" t="s">
        <v>2060</v>
      </c>
      <c r="L137" s="2" t="s">
        <v>63</v>
      </c>
      <c r="M137" s="2"/>
      <c r="N137" s="2" t="s">
        <v>64</v>
      </c>
      <c r="O137" s="2"/>
      <c r="P137" s="2" t="s">
        <v>65</v>
      </c>
      <c r="Q137" s="2"/>
      <c r="R137" s="2"/>
      <c r="S137" s="2"/>
      <c r="T137" s="2" t="s">
        <v>47</v>
      </c>
    </row>
    <row r="138" spans="1:20" ht="30" hidden="1" x14ac:dyDescent="0.25">
      <c r="A138" t="e">
        <f>INDEX('Orig (V1_BCK)'!$C:$C,MATCH($B138,'Orig (V1_BCK)'!$C:$C,0),1)</f>
        <v>#N/A</v>
      </c>
      <c r="B138" s="3" t="str">
        <f t="shared" si="2"/>
        <v>G2684629--</v>
      </c>
      <c r="C138" s="2" t="s">
        <v>2004</v>
      </c>
      <c r="D138" s="2" t="s">
        <v>2005</v>
      </c>
      <c r="E138" s="2" t="s">
        <v>468</v>
      </c>
      <c r="F138" s="2" t="s">
        <v>74</v>
      </c>
      <c r="G138" s="2" t="s">
        <v>2626</v>
      </c>
      <c r="H138" s="2" t="s">
        <v>2006</v>
      </c>
      <c r="I138" s="2"/>
      <c r="J138" s="2"/>
      <c r="K138" s="2" t="s">
        <v>1312</v>
      </c>
      <c r="L138" s="2"/>
      <c r="M138" s="2"/>
      <c r="N138" s="2"/>
      <c r="O138" s="2"/>
      <c r="P138" s="2"/>
      <c r="Q138" s="2"/>
      <c r="R138" s="2"/>
      <c r="S138" s="2"/>
      <c r="T138" s="2" t="s">
        <v>47</v>
      </c>
    </row>
    <row r="139" spans="1:20" ht="30" hidden="1" x14ac:dyDescent="0.25">
      <c r="A139" t="str">
        <f>INDEX('Orig (V1_BCK)'!$C:$C,MATCH($B139,'Orig (V1_BCK)'!$C:$C,0),1)</f>
        <v>G2953728--I7600760</v>
      </c>
      <c r="B139" s="3" t="str">
        <f t="shared" si="2"/>
        <v>G2953728--I7600760</v>
      </c>
      <c r="C139" s="2" t="s">
        <v>855</v>
      </c>
      <c r="D139" s="2" t="s">
        <v>856</v>
      </c>
      <c r="E139" s="2" t="s">
        <v>857</v>
      </c>
      <c r="F139" s="2" t="s">
        <v>858</v>
      </c>
      <c r="G139" s="2" t="s">
        <v>2237</v>
      </c>
      <c r="H139" s="2" t="s">
        <v>859</v>
      </c>
      <c r="I139" s="2"/>
      <c r="J139" s="2" t="s">
        <v>822</v>
      </c>
      <c r="K139" s="2" t="s">
        <v>2229</v>
      </c>
      <c r="L139" s="2"/>
      <c r="M139" s="2" t="s">
        <v>823</v>
      </c>
      <c r="N139" s="2"/>
      <c r="O139" s="2" t="s">
        <v>824</v>
      </c>
      <c r="P139" s="2"/>
      <c r="Q139" s="2" t="s">
        <v>825</v>
      </c>
      <c r="R139" s="2"/>
      <c r="S139" s="2"/>
      <c r="T139" s="2" t="s">
        <v>2083</v>
      </c>
    </row>
    <row r="140" spans="1:20" ht="30" hidden="1" x14ac:dyDescent="0.25">
      <c r="A140" t="str">
        <f>INDEX('Orig (V1_BCK)'!$C:$C,MATCH($B140,'Orig (V1_BCK)'!$C:$C,0),1)</f>
        <v>G3229318--J2543295</v>
      </c>
      <c r="B140" s="3" t="str">
        <f t="shared" si="2"/>
        <v>G3229318--J2543295</v>
      </c>
      <c r="C140" s="2" t="s">
        <v>791</v>
      </c>
      <c r="D140" s="2" t="s">
        <v>524</v>
      </c>
      <c r="E140" s="2" t="s">
        <v>792</v>
      </c>
      <c r="F140" s="2" t="s">
        <v>793</v>
      </c>
      <c r="G140" s="2" t="s">
        <v>2219</v>
      </c>
      <c r="H140" s="2" t="s">
        <v>794</v>
      </c>
      <c r="I140" s="2"/>
      <c r="J140" s="2" t="s">
        <v>795</v>
      </c>
      <c r="K140" s="2" t="s">
        <v>2220</v>
      </c>
      <c r="L140" s="2"/>
      <c r="M140" s="2" t="s">
        <v>796</v>
      </c>
      <c r="N140" s="2"/>
      <c r="O140" s="2" t="s">
        <v>797</v>
      </c>
      <c r="P140" s="2"/>
      <c r="Q140" s="2" t="s">
        <v>798</v>
      </c>
      <c r="R140" s="2"/>
      <c r="S140" s="2"/>
      <c r="T140" s="2" t="s">
        <v>2046</v>
      </c>
    </row>
    <row r="141" spans="1:20" ht="30" hidden="1" x14ac:dyDescent="0.25">
      <c r="A141" t="e">
        <f>INDEX('Orig (V1_BCK)'!$C:$C,MATCH($B141,'Orig (V1_BCK)'!$C:$C,0),1)</f>
        <v>#N/A</v>
      </c>
      <c r="B141" s="3" t="str">
        <f t="shared" si="2"/>
        <v>G4430877--</v>
      </c>
      <c r="C141" s="2" t="s">
        <v>1491</v>
      </c>
      <c r="D141" s="2" t="s">
        <v>695</v>
      </c>
      <c r="E141" s="2" t="s">
        <v>1492</v>
      </c>
      <c r="F141" s="2" t="s">
        <v>74</v>
      </c>
      <c r="G141" s="2" t="s">
        <v>2471</v>
      </c>
      <c r="H141" s="2" t="s">
        <v>1493</v>
      </c>
      <c r="I141" s="2"/>
      <c r="J141" s="2"/>
      <c r="K141" s="2" t="s">
        <v>1312</v>
      </c>
      <c r="L141" s="2"/>
      <c r="M141" s="2"/>
      <c r="N141" s="2"/>
      <c r="O141" s="2"/>
      <c r="P141" s="2"/>
      <c r="Q141" s="2"/>
      <c r="R141" s="2"/>
      <c r="S141" s="2"/>
      <c r="T141" s="2" t="s">
        <v>2401</v>
      </c>
    </row>
    <row r="142" spans="1:20" ht="45" hidden="1" x14ac:dyDescent="0.25">
      <c r="A142" t="e">
        <f>INDEX('Orig (V1_BCK)'!$C:$C,MATCH($B142,'Orig (V1_BCK)'!$C:$C,0),1)</f>
        <v>#N/A</v>
      </c>
      <c r="B142" s="3" t="str">
        <f t="shared" si="2"/>
        <v>G5310681--</v>
      </c>
      <c r="C142" s="2" t="s">
        <v>1494</v>
      </c>
      <c r="D142" s="2" t="s">
        <v>1495</v>
      </c>
      <c r="E142" s="2" t="s">
        <v>105</v>
      </c>
      <c r="F142" s="2" t="s">
        <v>1496</v>
      </c>
      <c r="G142" s="2" t="s">
        <v>2472</v>
      </c>
      <c r="H142" s="2" t="s">
        <v>1497</v>
      </c>
      <c r="I142" s="2"/>
      <c r="J142" s="2"/>
      <c r="K142" s="2" t="s">
        <v>1312</v>
      </c>
      <c r="L142" s="2"/>
      <c r="M142" s="2"/>
      <c r="N142" s="2"/>
      <c r="O142" s="2"/>
      <c r="P142" s="2"/>
      <c r="Q142" s="2"/>
      <c r="R142" s="2"/>
      <c r="S142" s="2"/>
      <c r="T142" s="2" t="s">
        <v>2080</v>
      </c>
    </row>
    <row r="143" spans="1:20" ht="30" hidden="1" x14ac:dyDescent="0.25">
      <c r="A143" t="e">
        <f>INDEX('Orig (V1_BCK)'!$C:$C,MATCH($B143,'Orig (V1_BCK)'!$C:$C,0),1)</f>
        <v>#N/A</v>
      </c>
      <c r="B143" s="3" t="str">
        <f t="shared" si="2"/>
        <v>G5989219--</v>
      </c>
      <c r="C143" s="2" t="s">
        <v>1993</v>
      </c>
      <c r="D143" s="2" t="s">
        <v>1994</v>
      </c>
      <c r="E143" s="2" t="s">
        <v>1215</v>
      </c>
      <c r="F143" s="2" t="s">
        <v>1995</v>
      </c>
      <c r="G143" s="2" t="s">
        <v>2622</v>
      </c>
      <c r="H143" s="2" t="s">
        <v>1996</v>
      </c>
      <c r="I143" s="2"/>
      <c r="J143" s="2"/>
      <c r="K143" s="2" t="s">
        <v>1312</v>
      </c>
      <c r="L143" s="2"/>
      <c r="M143" s="2"/>
      <c r="N143" s="2"/>
      <c r="O143" s="2"/>
      <c r="P143" s="2"/>
      <c r="Q143" s="2"/>
      <c r="R143" s="2"/>
      <c r="S143" s="2"/>
      <c r="T143" s="2" t="s">
        <v>1583</v>
      </c>
    </row>
    <row r="144" spans="1:20" hidden="1" x14ac:dyDescent="0.25">
      <c r="A144" t="e">
        <f>INDEX('Orig (V1_BCK)'!$C:$C,MATCH($B144,'Orig (V1_BCK)'!$C:$C,0),1)</f>
        <v>#N/A</v>
      </c>
      <c r="B144" s="3" t="str">
        <f t="shared" si="2"/>
        <v>G7212246--</v>
      </c>
      <c r="C144" s="2" t="s">
        <v>1633</v>
      </c>
      <c r="D144" s="2" t="s">
        <v>617</v>
      </c>
      <c r="E144" s="2" t="s">
        <v>11</v>
      </c>
      <c r="F144" s="2" t="s">
        <v>1634</v>
      </c>
      <c r="G144" s="2" t="s">
        <v>2512</v>
      </c>
      <c r="H144" s="2" t="s">
        <v>1635</v>
      </c>
      <c r="I144" s="2"/>
      <c r="J144" s="2"/>
      <c r="K144" s="2" t="s">
        <v>1312</v>
      </c>
      <c r="L144" s="2"/>
      <c r="M144" s="2"/>
      <c r="N144" s="2"/>
      <c r="O144" s="2"/>
      <c r="P144" s="2"/>
      <c r="Q144" s="2"/>
      <c r="R144" s="2"/>
      <c r="S144" s="2"/>
      <c r="T144" s="2" t="s">
        <v>47</v>
      </c>
    </row>
    <row r="145" spans="1:20" hidden="1" x14ac:dyDescent="0.25">
      <c r="A145" t="str">
        <f>INDEX('Orig (V1_BCK)'!$C:$C,MATCH($B145,'Orig (V1_BCK)'!$C:$C,0),1)</f>
        <v>G9554789-G9554789-</v>
      </c>
      <c r="B145" s="3" t="str">
        <f t="shared" si="2"/>
        <v>G9554789-G9554789-</v>
      </c>
      <c r="C145" s="2" t="s">
        <v>523</v>
      </c>
      <c r="D145" s="2" t="s">
        <v>524</v>
      </c>
      <c r="E145" s="2" t="s">
        <v>3</v>
      </c>
      <c r="F145" s="2" t="s">
        <v>525</v>
      </c>
      <c r="G145" s="2" t="s">
        <v>2115</v>
      </c>
      <c r="H145" s="2" t="s">
        <v>526</v>
      </c>
      <c r="I145" s="2" t="s">
        <v>523</v>
      </c>
      <c r="J145" s="2"/>
      <c r="K145" s="2" t="s">
        <v>2116</v>
      </c>
      <c r="L145" s="2" t="s">
        <v>524</v>
      </c>
      <c r="M145" s="2"/>
      <c r="N145" s="2" t="s">
        <v>3</v>
      </c>
      <c r="O145" s="2"/>
      <c r="P145" s="2" t="s">
        <v>525</v>
      </c>
      <c r="Q145" s="2"/>
      <c r="R145" s="2"/>
      <c r="S145" s="2"/>
      <c r="T145" s="2" t="s">
        <v>2071</v>
      </c>
    </row>
    <row r="146" spans="1:20" ht="30" hidden="1" x14ac:dyDescent="0.25">
      <c r="A146" t="e">
        <f>INDEX('Orig (V1_BCK)'!$C:$C,MATCH($B146,'Orig (V1_BCK)'!$C:$C,0),1)</f>
        <v>#N/A</v>
      </c>
      <c r="B146" s="3" t="str">
        <f t="shared" si="2"/>
        <v>H1520321--</v>
      </c>
      <c r="C146" s="2" t="s">
        <v>1413</v>
      </c>
      <c r="D146" s="2" t="s">
        <v>1414</v>
      </c>
      <c r="E146" s="2" t="s">
        <v>74</v>
      </c>
      <c r="F146" s="2" t="s">
        <v>74</v>
      </c>
      <c r="G146" s="2" t="s">
        <v>2448</v>
      </c>
      <c r="H146" s="2" t="s">
        <v>1415</v>
      </c>
      <c r="I146" s="2"/>
      <c r="J146" s="2"/>
      <c r="K146" s="2" t="s">
        <v>1312</v>
      </c>
      <c r="L146" s="2"/>
      <c r="M146" s="2"/>
      <c r="N146" s="2"/>
      <c r="O146" s="2"/>
      <c r="P146" s="2"/>
      <c r="Q146" s="2"/>
      <c r="R146" s="2"/>
      <c r="S146" s="2"/>
      <c r="T146" s="2" t="s">
        <v>2080</v>
      </c>
    </row>
    <row r="147" spans="1:20" hidden="1" x14ac:dyDescent="0.25">
      <c r="A147" t="str">
        <f>INDEX('Orig (V1_BCK)'!$C:$C,MATCH($B147,'Orig (V1_BCK)'!$C:$C,0),1)</f>
        <v>H7461208--E3066917</v>
      </c>
      <c r="B147" s="3" t="str">
        <f t="shared" si="2"/>
        <v>H7461208--E3066917</v>
      </c>
      <c r="C147" s="2" t="s">
        <v>904</v>
      </c>
      <c r="D147" s="2" t="s">
        <v>905</v>
      </c>
      <c r="E147" s="2" t="s">
        <v>906</v>
      </c>
      <c r="F147" s="2" t="s">
        <v>907</v>
      </c>
      <c r="G147" s="2" t="s">
        <v>2255</v>
      </c>
      <c r="H147" s="2" t="s">
        <v>908</v>
      </c>
      <c r="I147" s="2"/>
      <c r="J147" s="2" t="s">
        <v>909</v>
      </c>
      <c r="K147" s="2" t="s">
        <v>2256</v>
      </c>
      <c r="L147" s="2"/>
      <c r="M147" s="2" t="s">
        <v>910</v>
      </c>
      <c r="N147" s="2"/>
      <c r="O147" s="2" t="s">
        <v>642</v>
      </c>
      <c r="P147" s="2"/>
      <c r="Q147" s="2" t="s">
        <v>44</v>
      </c>
      <c r="R147" s="2"/>
      <c r="S147" s="2"/>
      <c r="T147" s="2" t="s">
        <v>2038</v>
      </c>
    </row>
    <row r="148" spans="1:20" ht="30" hidden="1" x14ac:dyDescent="0.25">
      <c r="A148" t="str">
        <f>INDEX('Orig (V1_BCK)'!$C:$C,MATCH($B148,'Orig (V1_BCK)'!$C:$C,0),1)</f>
        <v>H9345495--J9332943</v>
      </c>
      <c r="B148" s="3" t="str">
        <f t="shared" si="2"/>
        <v>H9345495--J9332943</v>
      </c>
      <c r="C148" s="2" t="s">
        <v>1151</v>
      </c>
      <c r="D148" s="2" t="s">
        <v>1152</v>
      </c>
      <c r="E148" s="2" t="s">
        <v>1153</v>
      </c>
      <c r="F148" s="2" t="s">
        <v>1154</v>
      </c>
      <c r="G148" s="2" t="s">
        <v>2370</v>
      </c>
      <c r="H148" s="2" t="s">
        <v>1155</v>
      </c>
      <c r="I148" s="2"/>
      <c r="J148" s="2" t="s">
        <v>1156</v>
      </c>
      <c r="K148" s="2" t="s">
        <v>2371</v>
      </c>
      <c r="L148" s="2"/>
      <c r="M148" s="2" t="s">
        <v>564</v>
      </c>
      <c r="N148" s="2"/>
      <c r="O148" s="2" t="s">
        <v>1157</v>
      </c>
      <c r="P148" s="2"/>
      <c r="Q148" s="2" t="s">
        <v>1158</v>
      </c>
      <c r="R148" s="2"/>
      <c r="S148" s="2"/>
      <c r="T148" s="2" t="s">
        <v>47</v>
      </c>
    </row>
    <row r="149" spans="1:20" ht="30" hidden="1" x14ac:dyDescent="0.25">
      <c r="A149" t="e">
        <f>INDEX('Orig (V1_BCK)'!$C:$C,MATCH($B149,'Orig (V1_BCK)'!$C:$C,0),1)</f>
        <v>#N/A</v>
      </c>
      <c r="B149" s="3" t="str">
        <f t="shared" si="2"/>
        <v>I0700653--</v>
      </c>
      <c r="C149" s="2" t="s">
        <v>1416</v>
      </c>
      <c r="D149" s="2" t="s">
        <v>73</v>
      </c>
      <c r="E149" s="2" t="s">
        <v>729</v>
      </c>
      <c r="F149" s="2" t="s">
        <v>1417</v>
      </c>
      <c r="G149" s="2" t="s">
        <v>2449</v>
      </c>
      <c r="H149" s="2" t="s">
        <v>1418</v>
      </c>
      <c r="I149" s="2"/>
      <c r="J149" s="2"/>
      <c r="K149" s="2" t="s">
        <v>1312</v>
      </c>
      <c r="L149" s="2"/>
      <c r="M149" s="2"/>
      <c r="N149" s="2"/>
      <c r="O149" s="2"/>
      <c r="P149" s="2"/>
      <c r="Q149" s="2"/>
      <c r="R149" s="2"/>
      <c r="S149" s="2"/>
      <c r="T149" s="2" t="s">
        <v>2080</v>
      </c>
    </row>
    <row r="150" spans="1:20" ht="45" hidden="1" x14ac:dyDescent="0.25">
      <c r="A150" t="e">
        <f>INDEX('Orig (V1_BCK)'!$C:$C,MATCH($B150,'Orig (V1_BCK)'!$C:$C,0),1)</f>
        <v>#N/A</v>
      </c>
      <c r="B150" s="3" t="str">
        <f t="shared" si="2"/>
        <v>I0773196--</v>
      </c>
      <c r="C150" s="2" t="s">
        <v>1975</v>
      </c>
      <c r="D150" s="2" t="s">
        <v>1976</v>
      </c>
      <c r="E150" s="2" t="s">
        <v>29</v>
      </c>
      <c r="F150" s="2" t="s">
        <v>704</v>
      </c>
      <c r="G150" s="2" t="s">
        <v>2614</v>
      </c>
      <c r="H150" s="2" t="s">
        <v>1977</v>
      </c>
      <c r="I150" s="2"/>
      <c r="J150" s="2"/>
      <c r="K150" s="2" t="s">
        <v>1312</v>
      </c>
      <c r="L150" s="2"/>
      <c r="M150" s="2"/>
      <c r="N150" s="2"/>
      <c r="O150" s="2"/>
      <c r="P150" s="2"/>
      <c r="Q150" s="2"/>
      <c r="R150" s="2"/>
      <c r="S150" s="2"/>
      <c r="T150" s="2" t="s">
        <v>47</v>
      </c>
    </row>
    <row r="151" spans="1:20" hidden="1" x14ac:dyDescent="0.25">
      <c r="A151" t="str">
        <f>INDEX('Orig (V1_BCK)'!$C:$C,MATCH($B151,'Orig (V1_BCK)'!$C:$C,0),1)</f>
        <v>I1096541-I1096541-</v>
      </c>
      <c r="B151" s="3" t="str">
        <f t="shared" si="2"/>
        <v>I1096541-I1096541-</v>
      </c>
      <c r="C151" s="2" t="s">
        <v>584</v>
      </c>
      <c r="D151" s="2" t="s">
        <v>585</v>
      </c>
      <c r="E151" s="2" t="s">
        <v>586</v>
      </c>
      <c r="F151" s="2" t="s">
        <v>587</v>
      </c>
      <c r="G151" s="2" t="s">
        <v>2142</v>
      </c>
      <c r="H151" s="2" t="s">
        <v>588</v>
      </c>
      <c r="I151" s="2" t="s">
        <v>584</v>
      </c>
      <c r="J151" s="2"/>
      <c r="K151" s="2" t="s">
        <v>2143</v>
      </c>
      <c r="L151" s="2" t="s">
        <v>585</v>
      </c>
      <c r="M151" s="2"/>
      <c r="N151" s="2" t="s">
        <v>586</v>
      </c>
      <c r="O151" s="2"/>
      <c r="P151" s="2" t="s">
        <v>587</v>
      </c>
      <c r="Q151" s="2"/>
      <c r="R151" s="2"/>
      <c r="S151" s="2"/>
      <c r="T151" s="2" t="s">
        <v>2038</v>
      </c>
    </row>
    <row r="152" spans="1:20" ht="45" hidden="1" x14ac:dyDescent="0.25">
      <c r="A152" t="e">
        <f>INDEX('Orig (V1_BCK)'!$C:$C,MATCH($B152,'Orig (V1_BCK)'!$C:$C,0),1)</f>
        <v>#N/A</v>
      </c>
      <c r="B152" s="3" t="str">
        <f t="shared" si="2"/>
        <v>I1250878--</v>
      </c>
      <c r="C152" s="2" t="s">
        <v>1519</v>
      </c>
      <c r="D152" s="2" t="s">
        <v>492</v>
      </c>
      <c r="E152" s="2" t="s">
        <v>1520</v>
      </c>
      <c r="F152" s="2" t="s">
        <v>11</v>
      </c>
      <c r="G152" s="2" t="s">
        <v>2480</v>
      </c>
      <c r="H152" s="2" t="s">
        <v>1521</v>
      </c>
      <c r="I152" s="2"/>
      <c r="J152" s="2"/>
      <c r="K152" s="2" t="s">
        <v>1312</v>
      </c>
      <c r="L152" s="2"/>
      <c r="M152" s="2"/>
      <c r="N152" s="2"/>
      <c r="O152" s="2"/>
      <c r="P152" s="2"/>
      <c r="Q152" s="2"/>
      <c r="R152" s="2"/>
      <c r="S152" s="2"/>
      <c r="T152" s="2" t="s">
        <v>2080</v>
      </c>
    </row>
    <row r="153" spans="1:20" hidden="1" x14ac:dyDescent="0.25">
      <c r="A153" t="e">
        <f>INDEX('Orig (V1_BCK)'!$C:$C,MATCH($B153,'Orig (V1_BCK)'!$C:$C,0),1)</f>
        <v>#N/A</v>
      </c>
      <c r="B153" s="3" t="str">
        <f t="shared" si="2"/>
        <v>I2356655--</v>
      </c>
      <c r="C153" s="2" t="s">
        <v>1523</v>
      </c>
      <c r="D153" s="2" t="s">
        <v>1524</v>
      </c>
      <c r="E153" s="2" t="s">
        <v>1525</v>
      </c>
      <c r="F153" s="2" t="s">
        <v>44</v>
      </c>
      <c r="G153" s="2" t="s">
        <v>2482</v>
      </c>
      <c r="H153" s="2" t="s">
        <v>1526</v>
      </c>
      <c r="I153" s="2"/>
      <c r="J153" s="2"/>
      <c r="K153" s="2" t="s">
        <v>1312</v>
      </c>
      <c r="L153" s="2"/>
      <c r="M153" s="2"/>
      <c r="N153" s="2"/>
      <c r="O153" s="2"/>
      <c r="P153" s="2"/>
      <c r="Q153" s="2"/>
      <c r="R153" s="2"/>
      <c r="S153" s="2"/>
      <c r="T153" s="2" t="s">
        <v>2378</v>
      </c>
    </row>
    <row r="154" spans="1:20" hidden="1" x14ac:dyDescent="0.25">
      <c r="A154" t="str">
        <f>INDEX('Orig (V1_BCK)'!$C:$C,MATCH($B154,'Orig (V1_BCK)'!$C:$C,0),1)</f>
        <v>I2569958--P6842735</v>
      </c>
      <c r="B154" s="3" t="str">
        <f t="shared" si="2"/>
        <v>I2569958--P6842735</v>
      </c>
      <c r="C154" s="2" t="s">
        <v>1099</v>
      </c>
      <c r="D154" s="2" t="s">
        <v>73</v>
      </c>
      <c r="E154" s="2" t="s">
        <v>692</v>
      </c>
      <c r="F154" s="2" t="s">
        <v>1100</v>
      </c>
      <c r="G154" s="2" t="s">
        <v>2346</v>
      </c>
      <c r="H154" s="2" t="s">
        <v>2346</v>
      </c>
      <c r="I154" s="2"/>
      <c r="J154" s="2" t="s">
        <v>641</v>
      </c>
      <c r="K154" s="2" t="s">
        <v>2164</v>
      </c>
      <c r="L154" s="2"/>
      <c r="M154" s="2" t="s">
        <v>58</v>
      </c>
      <c r="N154" s="2"/>
      <c r="O154" s="2" t="s">
        <v>642</v>
      </c>
      <c r="P154" s="2"/>
      <c r="Q154" s="2" t="s">
        <v>643</v>
      </c>
      <c r="R154" s="2"/>
      <c r="S154" s="2"/>
      <c r="T154" s="2" t="s">
        <v>2083</v>
      </c>
    </row>
    <row r="155" spans="1:20" ht="45" hidden="1" x14ac:dyDescent="0.25">
      <c r="A155" t="e">
        <f>INDEX('Orig (V1_BCK)'!$C:$C,MATCH($B155,'Orig (V1_BCK)'!$C:$C,0),1)</f>
        <v>#N/A</v>
      </c>
      <c r="B155" s="3" t="str">
        <f t="shared" si="2"/>
        <v>I5813736--</v>
      </c>
      <c r="C155" s="2" t="s">
        <v>1844</v>
      </c>
      <c r="D155" s="2" t="s">
        <v>1845</v>
      </c>
      <c r="E155" s="2" t="s">
        <v>8</v>
      </c>
      <c r="F155" s="2" t="s">
        <v>11</v>
      </c>
      <c r="G155" s="2" t="s">
        <v>2576</v>
      </c>
      <c r="H155" s="2" t="s">
        <v>1846</v>
      </c>
      <c r="I155" s="2"/>
      <c r="J155" s="2"/>
      <c r="K155" s="2" t="s">
        <v>1312</v>
      </c>
      <c r="L155" s="2"/>
      <c r="M155" s="2"/>
      <c r="N155" s="2"/>
      <c r="O155" s="2"/>
      <c r="P155" s="2"/>
      <c r="Q155" s="2"/>
      <c r="R155" s="2"/>
      <c r="S155" s="2"/>
      <c r="T155" s="2" t="s">
        <v>2041</v>
      </c>
    </row>
    <row r="156" spans="1:20" ht="30" hidden="1" x14ac:dyDescent="0.25">
      <c r="A156" t="str">
        <f>INDEX('Orig (V1_BCK)'!$C:$C,MATCH($B156,'Orig (V1_BCK)'!$C:$C,0),1)</f>
        <v>I6567006--J1842217</v>
      </c>
      <c r="B156" s="3" t="str">
        <f t="shared" si="2"/>
        <v>I6567006--J1842217</v>
      </c>
      <c r="C156" s="2" t="s">
        <v>619</v>
      </c>
      <c r="D156" s="2" t="s">
        <v>620</v>
      </c>
      <c r="E156" s="2" t="s">
        <v>621</v>
      </c>
      <c r="F156" s="2" t="s">
        <v>622</v>
      </c>
      <c r="G156" s="2" t="s">
        <v>2156</v>
      </c>
      <c r="H156" s="2" t="s">
        <v>635</v>
      </c>
      <c r="I156" s="2"/>
      <c r="J156" s="2" t="s">
        <v>457</v>
      </c>
      <c r="K156" s="2" t="s">
        <v>2087</v>
      </c>
      <c r="L156" s="2"/>
      <c r="M156" s="2" t="s">
        <v>458</v>
      </c>
      <c r="N156" s="2"/>
      <c r="O156" s="2" t="s">
        <v>459</v>
      </c>
      <c r="P156" s="2"/>
      <c r="Q156" s="2" t="s">
        <v>460</v>
      </c>
      <c r="R156" s="2"/>
      <c r="S156" s="2"/>
      <c r="T156" s="2" t="s">
        <v>2083</v>
      </c>
    </row>
    <row r="157" spans="1:20" hidden="1" x14ac:dyDescent="0.25">
      <c r="A157" t="e">
        <f>INDEX('Orig (V1_BCK)'!$C:$C,MATCH($B157,'Orig (V1_BCK)'!$C:$C,0),1)</f>
        <v>#N/A</v>
      </c>
      <c r="B157" s="3" t="str">
        <f t="shared" si="2"/>
        <v>I6768256--</v>
      </c>
      <c r="C157" s="2" t="s">
        <v>1544</v>
      </c>
      <c r="D157" s="2" t="s">
        <v>1545</v>
      </c>
      <c r="E157" s="2" t="s">
        <v>1546</v>
      </c>
      <c r="F157" s="2" t="s">
        <v>1547</v>
      </c>
      <c r="G157" s="2" t="s">
        <v>2487</v>
      </c>
      <c r="H157" s="2" t="s">
        <v>1548</v>
      </c>
      <c r="I157" s="2"/>
      <c r="J157" s="2"/>
      <c r="K157" s="2" t="s">
        <v>1312</v>
      </c>
      <c r="L157" s="2"/>
      <c r="M157" s="2"/>
      <c r="N157" s="2"/>
      <c r="O157" s="2"/>
      <c r="P157" s="2"/>
      <c r="Q157" s="2"/>
      <c r="R157" s="2"/>
      <c r="S157" s="2"/>
      <c r="T157" s="2" t="s">
        <v>2071</v>
      </c>
    </row>
    <row r="158" spans="1:20" ht="45" hidden="1" x14ac:dyDescent="0.25">
      <c r="A158" t="str">
        <f>INDEX('Orig (V1_BCK)'!$C:$C,MATCH($B158,'Orig (V1_BCK)'!$C:$C,0),1)</f>
        <v>I6825354-I6825354-</v>
      </c>
      <c r="B158" s="3" t="str">
        <f t="shared" si="2"/>
        <v>I6825354-I6825354-</v>
      </c>
      <c r="C158" s="2" t="s">
        <v>491</v>
      </c>
      <c r="D158" s="2" t="s">
        <v>492</v>
      </c>
      <c r="E158" s="2" t="s">
        <v>493</v>
      </c>
      <c r="F158" s="2" t="s">
        <v>60</v>
      </c>
      <c r="G158" s="2" t="s">
        <v>2102</v>
      </c>
      <c r="H158" s="2" t="s">
        <v>494</v>
      </c>
      <c r="I158" s="2" t="s">
        <v>491</v>
      </c>
      <c r="J158" s="2"/>
      <c r="K158" s="2" t="s">
        <v>2103</v>
      </c>
      <c r="L158" s="2" t="s">
        <v>492</v>
      </c>
      <c r="M158" s="2"/>
      <c r="N158" s="2" t="s">
        <v>493</v>
      </c>
      <c r="O158" s="2"/>
      <c r="P158" s="2" t="s">
        <v>60</v>
      </c>
      <c r="Q158" s="2"/>
      <c r="R158" s="2"/>
      <c r="S158" s="2"/>
      <c r="T158" s="2" t="s">
        <v>2083</v>
      </c>
    </row>
    <row r="159" spans="1:20" ht="45" hidden="1" x14ac:dyDescent="0.25">
      <c r="A159" t="e">
        <f>INDEX('Orig (V1_BCK)'!$C:$C,MATCH($B159,'Orig (V1_BCK)'!$C:$C,0),1)</f>
        <v>#N/A</v>
      </c>
      <c r="B159" s="3" t="str">
        <f t="shared" si="2"/>
        <v>I7557238--</v>
      </c>
      <c r="C159" s="2" t="s">
        <v>1674</v>
      </c>
      <c r="D159" s="2" t="s">
        <v>585</v>
      </c>
      <c r="E159" s="2" t="s">
        <v>827</v>
      </c>
      <c r="F159" s="2" t="s">
        <v>92</v>
      </c>
      <c r="G159" s="2" t="s">
        <v>2524</v>
      </c>
      <c r="H159" s="2" t="s">
        <v>1675</v>
      </c>
      <c r="I159" s="2"/>
      <c r="J159" s="2"/>
      <c r="K159" s="2" t="s">
        <v>1312</v>
      </c>
      <c r="L159" s="2"/>
      <c r="M159" s="2"/>
      <c r="N159" s="2"/>
      <c r="O159" s="2"/>
      <c r="P159" s="2"/>
      <c r="Q159" s="2"/>
      <c r="R159" s="2"/>
      <c r="S159" s="2"/>
      <c r="T159" s="2" t="s">
        <v>2041</v>
      </c>
    </row>
    <row r="160" spans="1:20" hidden="1" x14ac:dyDescent="0.25">
      <c r="A160" t="str">
        <f>INDEX('Orig (V1_BCK)'!$C:$C,MATCH($B160,'Orig (V1_BCK)'!$C:$C,0),1)</f>
        <v>I7600760-I7600760-</v>
      </c>
      <c r="B160" s="3" t="str">
        <f t="shared" si="2"/>
        <v>I7600760-I7600760-</v>
      </c>
      <c r="C160" s="2" t="s">
        <v>822</v>
      </c>
      <c r="D160" s="2" t="s">
        <v>823</v>
      </c>
      <c r="E160" s="2" t="s">
        <v>824</v>
      </c>
      <c r="F160" s="2" t="s">
        <v>825</v>
      </c>
      <c r="G160" s="2" t="s">
        <v>2229</v>
      </c>
      <c r="H160" s="2" t="s">
        <v>879</v>
      </c>
      <c r="I160" s="2" t="s">
        <v>822</v>
      </c>
      <c r="J160" s="2"/>
      <c r="K160" s="2" t="s">
        <v>2244</v>
      </c>
      <c r="L160" s="2" t="s">
        <v>823</v>
      </c>
      <c r="M160" s="2"/>
      <c r="N160" s="2" t="s">
        <v>824</v>
      </c>
      <c r="O160" s="2"/>
      <c r="P160" s="2" t="s">
        <v>825</v>
      </c>
      <c r="Q160" s="2"/>
      <c r="R160" s="2"/>
      <c r="S160" s="2"/>
      <c r="T160" s="2" t="s">
        <v>2083</v>
      </c>
    </row>
    <row r="161" spans="1:20" hidden="1" x14ac:dyDescent="0.25">
      <c r="A161" t="str">
        <f>INDEX('Orig (V1_BCK)'!$C:$C,MATCH($B161,'Orig (V1_BCK)'!$C:$C,0),1)</f>
        <v>I7906159--A7005471</v>
      </c>
      <c r="B161" s="3" t="str">
        <f t="shared" si="2"/>
        <v>I7906159--A7005471</v>
      </c>
      <c r="C161" s="2" t="s">
        <v>1004</v>
      </c>
      <c r="D161" s="2" t="s">
        <v>73</v>
      </c>
      <c r="E161" s="2" t="s">
        <v>493</v>
      </c>
      <c r="F161" s="2" t="s">
        <v>1005</v>
      </c>
      <c r="G161" s="2" t="s">
        <v>2299</v>
      </c>
      <c r="H161" s="2" t="s">
        <v>2299</v>
      </c>
      <c r="I161" s="2"/>
      <c r="J161" s="2" t="s">
        <v>780</v>
      </c>
      <c r="K161" s="2" t="s">
        <v>2215</v>
      </c>
      <c r="L161" s="2"/>
      <c r="M161" s="2" t="s">
        <v>781</v>
      </c>
      <c r="N161" s="2"/>
      <c r="O161" s="2" t="s">
        <v>493</v>
      </c>
      <c r="P161" s="2"/>
      <c r="Q161" s="2" t="s">
        <v>74</v>
      </c>
      <c r="R161" s="2"/>
      <c r="S161" s="2"/>
      <c r="T161" s="2" t="s">
        <v>2083</v>
      </c>
    </row>
    <row r="162" spans="1:20" hidden="1" x14ac:dyDescent="0.25">
      <c r="A162" t="str">
        <f>INDEX('Orig (V1_BCK)'!$C:$C,MATCH($B162,'Orig (V1_BCK)'!$C:$C,0),1)</f>
        <v>I8301604-I8301604-</v>
      </c>
      <c r="B162" s="3" t="str">
        <f t="shared" si="2"/>
        <v>I8301604-I8301604-</v>
      </c>
      <c r="C162" s="2" t="s">
        <v>72</v>
      </c>
      <c r="D162" s="2" t="s">
        <v>73</v>
      </c>
      <c r="E162" s="2" t="s">
        <v>74</v>
      </c>
      <c r="F162" s="2" t="s">
        <v>8</v>
      </c>
      <c r="G162" s="2" t="s">
        <v>2063</v>
      </c>
      <c r="H162" s="2" t="s">
        <v>75</v>
      </c>
      <c r="I162" s="2" t="s">
        <v>72</v>
      </c>
      <c r="J162" s="2"/>
      <c r="K162" s="2" t="s">
        <v>2064</v>
      </c>
      <c r="L162" s="2" t="s">
        <v>73</v>
      </c>
      <c r="M162" s="2"/>
      <c r="N162" s="2" t="s">
        <v>74</v>
      </c>
      <c r="O162" s="2"/>
      <c r="P162" s="2" t="s">
        <v>8</v>
      </c>
      <c r="Q162" s="2"/>
      <c r="R162" s="2"/>
      <c r="S162" s="2"/>
      <c r="T162" s="2" t="s">
        <v>47</v>
      </c>
    </row>
    <row r="163" spans="1:20" hidden="1" x14ac:dyDescent="0.25">
      <c r="A163" t="str">
        <f>INDEX('Orig (V1_BCK)'!$C:$C,MATCH($B163,'Orig (V1_BCK)'!$C:$C,0),1)</f>
        <v>I9027151-I9027151-</v>
      </c>
      <c r="B163" s="3" t="str">
        <f t="shared" si="2"/>
        <v>I9027151-I9027151-</v>
      </c>
      <c r="C163" s="2" t="s">
        <v>482</v>
      </c>
      <c r="D163" s="2" t="s">
        <v>73</v>
      </c>
      <c r="E163" s="2" t="s">
        <v>483</v>
      </c>
      <c r="F163" s="2" t="s">
        <v>60</v>
      </c>
      <c r="G163" s="2" t="s">
        <v>2097</v>
      </c>
      <c r="H163" s="2" t="s">
        <v>484</v>
      </c>
      <c r="I163" s="2" t="s">
        <v>482</v>
      </c>
      <c r="J163" s="2"/>
      <c r="K163" s="2" t="s">
        <v>2098</v>
      </c>
      <c r="L163" s="2" t="s">
        <v>73</v>
      </c>
      <c r="M163" s="2"/>
      <c r="N163" s="2" t="s">
        <v>483</v>
      </c>
      <c r="O163" s="2"/>
      <c r="P163" s="2" t="s">
        <v>60</v>
      </c>
      <c r="Q163" s="2"/>
      <c r="R163" s="2"/>
      <c r="S163" s="2"/>
      <c r="T163" s="2" t="s">
        <v>2080</v>
      </c>
    </row>
    <row r="164" spans="1:20" hidden="1" x14ac:dyDescent="0.25">
      <c r="A164" t="e">
        <f>INDEX('Orig (V1_BCK)'!$C:$C,MATCH($B164,'Orig (V1_BCK)'!$C:$C,0),1)</f>
        <v>#N/A</v>
      </c>
      <c r="B164" s="3" t="str">
        <f t="shared" si="2"/>
        <v>I9855986--</v>
      </c>
      <c r="C164" s="2" t="s">
        <v>1383</v>
      </c>
      <c r="D164" s="2" t="s">
        <v>73</v>
      </c>
      <c r="E164" s="2" t="s">
        <v>11</v>
      </c>
      <c r="F164" s="2" t="s">
        <v>741</v>
      </c>
      <c r="G164" s="2" t="s">
        <v>2435</v>
      </c>
      <c r="H164" s="2" t="s">
        <v>2435</v>
      </c>
      <c r="I164" s="2"/>
      <c r="J164" s="2"/>
      <c r="K164" s="2" t="s">
        <v>1312</v>
      </c>
      <c r="L164" s="2"/>
      <c r="M164" s="2"/>
      <c r="N164" s="2"/>
      <c r="O164" s="2"/>
      <c r="P164" s="2"/>
      <c r="Q164" s="2"/>
      <c r="R164" s="2"/>
      <c r="S164" s="2"/>
      <c r="T164" s="2" t="s">
        <v>2426</v>
      </c>
    </row>
    <row r="165" spans="1:20" ht="30" hidden="1" x14ac:dyDescent="0.25">
      <c r="A165" t="e">
        <f>INDEX('Orig (V1_BCK)'!$C:$C,MATCH($B165,'Orig (V1_BCK)'!$C:$C,0),1)</f>
        <v>#N/A</v>
      </c>
      <c r="B165" s="3" t="str">
        <f t="shared" si="2"/>
        <v>J0020115--</v>
      </c>
      <c r="C165" s="2" t="s">
        <v>1610</v>
      </c>
      <c r="D165" s="2" t="s">
        <v>438</v>
      </c>
      <c r="E165" s="2" t="s">
        <v>1611</v>
      </c>
      <c r="F165" s="2" t="s">
        <v>1612</v>
      </c>
      <c r="G165" s="2" t="s">
        <v>2506</v>
      </c>
      <c r="H165" s="2" t="s">
        <v>1613</v>
      </c>
      <c r="I165" s="2"/>
      <c r="J165" s="2"/>
      <c r="K165" s="2" t="s">
        <v>1312</v>
      </c>
      <c r="L165" s="2"/>
      <c r="M165" s="2"/>
      <c r="N165" s="2"/>
      <c r="O165" s="2"/>
      <c r="P165" s="2"/>
      <c r="Q165" s="2"/>
      <c r="R165" s="2"/>
      <c r="S165" s="2"/>
      <c r="T165" s="2" t="s">
        <v>2041</v>
      </c>
    </row>
    <row r="166" spans="1:20" ht="30" hidden="1" x14ac:dyDescent="0.25">
      <c r="A166" t="e">
        <f>INDEX('Orig (V1_BCK)'!$C:$C,MATCH($B166,'Orig (V1_BCK)'!$C:$C,0),1)</f>
        <v>#N/A</v>
      </c>
      <c r="B166" s="3" t="str">
        <f t="shared" si="2"/>
        <v>J0041893--</v>
      </c>
      <c r="C166" s="2" t="s">
        <v>1182</v>
      </c>
      <c r="D166" s="2" t="s">
        <v>1183</v>
      </c>
      <c r="E166" s="2" t="s">
        <v>1184</v>
      </c>
      <c r="F166" s="2" t="s">
        <v>1145</v>
      </c>
      <c r="G166" s="2" t="s">
        <v>2634</v>
      </c>
      <c r="H166" s="2" t="s">
        <v>2035</v>
      </c>
      <c r="I166" s="2"/>
      <c r="J166" s="2"/>
      <c r="K166" s="2" t="s">
        <v>1312</v>
      </c>
      <c r="L166" s="2"/>
      <c r="M166" s="2"/>
      <c r="N166" s="2"/>
      <c r="O166" s="2"/>
      <c r="P166" s="2"/>
      <c r="Q166" s="2"/>
      <c r="R166" s="2"/>
      <c r="S166" s="2"/>
      <c r="T166" s="2" t="s">
        <v>107</v>
      </c>
    </row>
    <row r="167" spans="1:20" hidden="1" x14ac:dyDescent="0.25">
      <c r="A167" t="e">
        <f>INDEX('Orig (V1_BCK)'!$C:$C,MATCH($B167,'Orig (V1_BCK)'!$C:$C,0),1)</f>
        <v>#N/A</v>
      </c>
      <c r="B167" s="3" t="str">
        <f t="shared" si="2"/>
        <v>J0201597--</v>
      </c>
      <c r="C167" s="2" t="s">
        <v>1471</v>
      </c>
      <c r="D167" s="2" t="s">
        <v>776</v>
      </c>
      <c r="E167" s="2" t="s">
        <v>1472</v>
      </c>
      <c r="F167" s="2" t="s">
        <v>557</v>
      </c>
      <c r="G167" s="2" t="s">
        <v>2464</v>
      </c>
      <c r="H167" s="2" t="s">
        <v>1473</v>
      </c>
      <c r="I167" s="2"/>
      <c r="J167" s="2"/>
      <c r="K167" s="2" t="s">
        <v>1312</v>
      </c>
      <c r="L167" s="2"/>
      <c r="M167" s="2"/>
      <c r="N167" s="2"/>
      <c r="O167" s="2"/>
      <c r="P167" s="2"/>
      <c r="Q167" s="2"/>
      <c r="R167" s="2"/>
      <c r="S167" s="2"/>
      <c r="T167" s="2" t="s">
        <v>2375</v>
      </c>
    </row>
    <row r="168" spans="1:20" ht="45" hidden="1" x14ac:dyDescent="0.25">
      <c r="A168" t="e">
        <f>INDEX('Orig (V1_BCK)'!$C:$C,MATCH($B168,'Orig (V1_BCK)'!$C:$C,0),1)</f>
        <v>#N/A</v>
      </c>
      <c r="B168" s="3" t="str">
        <f t="shared" si="2"/>
        <v>J0372487--</v>
      </c>
      <c r="C168" s="2" t="s">
        <v>1558</v>
      </c>
      <c r="D168" s="2" t="s">
        <v>24</v>
      </c>
      <c r="E168" s="2" t="s">
        <v>1559</v>
      </c>
      <c r="F168" s="2" t="s">
        <v>1560</v>
      </c>
      <c r="G168" s="2" t="s">
        <v>2491</v>
      </c>
      <c r="H168" s="2" t="s">
        <v>1561</v>
      </c>
      <c r="I168" s="2"/>
      <c r="J168" s="2"/>
      <c r="K168" s="2" t="s">
        <v>1312</v>
      </c>
      <c r="L168" s="2"/>
      <c r="M168" s="2"/>
      <c r="N168" s="2"/>
      <c r="O168" s="2"/>
      <c r="P168" s="2"/>
      <c r="Q168" s="2"/>
      <c r="R168" s="2"/>
      <c r="S168" s="2"/>
      <c r="T168" s="2" t="s">
        <v>2041</v>
      </c>
    </row>
    <row r="169" spans="1:20" hidden="1" x14ac:dyDescent="0.25">
      <c r="A169" t="e">
        <f>INDEX('Orig (V1_BCK)'!$C:$C,MATCH($B169,'Orig (V1_BCK)'!$C:$C,0),1)</f>
        <v>#N/A</v>
      </c>
      <c r="B169" s="3" t="str">
        <f t="shared" si="2"/>
        <v>J0461197--</v>
      </c>
      <c r="C169" s="2" t="s">
        <v>1331</v>
      </c>
      <c r="D169" s="2" t="s">
        <v>1332</v>
      </c>
      <c r="E169" s="2" t="s">
        <v>1333</v>
      </c>
      <c r="F169" s="2" t="s">
        <v>1334</v>
      </c>
      <c r="G169" s="2" t="s">
        <v>2420</v>
      </c>
      <c r="H169" s="2" t="s">
        <v>1335</v>
      </c>
      <c r="I169" s="2"/>
      <c r="J169" s="2"/>
      <c r="K169" s="2" t="s">
        <v>1312</v>
      </c>
      <c r="L169" s="2"/>
      <c r="M169" s="2"/>
      <c r="N169" s="2"/>
      <c r="O169" s="2"/>
      <c r="P169" s="2"/>
      <c r="Q169" s="2"/>
      <c r="R169" s="2"/>
      <c r="S169" s="2"/>
      <c r="T169" s="2" t="s">
        <v>2080</v>
      </c>
    </row>
    <row r="170" spans="1:20" ht="30" hidden="1" x14ac:dyDescent="0.25">
      <c r="A170" t="str">
        <f>INDEX('Orig (V1_BCK)'!$C:$C,MATCH($B170,'Orig (V1_BCK)'!$C:$C,0),1)</f>
        <v>J0469011--A4621755</v>
      </c>
      <c r="B170" s="3" t="str">
        <f t="shared" si="2"/>
        <v>J0469011--A4621755</v>
      </c>
      <c r="C170" s="2" t="s">
        <v>755</v>
      </c>
      <c r="D170" s="2" t="s">
        <v>147</v>
      </c>
      <c r="E170" s="2" t="s">
        <v>444</v>
      </c>
      <c r="F170" s="2" t="s">
        <v>44</v>
      </c>
      <c r="G170" s="2" t="s">
        <v>2206</v>
      </c>
      <c r="H170" s="2" t="s">
        <v>756</v>
      </c>
      <c r="I170" s="2"/>
      <c r="J170" s="2" t="s">
        <v>757</v>
      </c>
      <c r="K170" s="2" t="s">
        <v>2207</v>
      </c>
      <c r="L170" s="2"/>
      <c r="M170" s="2" t="s">
        <v>758</v>
      </c>
      <c r="N170" s="2"/>
      <c r="O170" s="2" t="s">
        <v>759</v>
      </c>
      <c r="P170" s="2"/>
      <c r="Q170" s="2" t="s">
        <v>760</v>
      </c>
      <c r="R170" s="2"/>
      <c r="S170" s="2"/>
      <c r="T170" s="2" t="s">
        <v>2038</v>
      </c>
    </row>
    <row r="171" spans="1:20" ht="45" hidden="1" x14ac:dyDescent="0.25">
      <c r="A171" t="e">
        <f>INDEX('Orig (V1_BCK)'!$C:$C,MATCH($B171,'Orig (V1_BCK)'!$C:$C,0),1)</f>
        <v>#N/A</v>
      </c>
      <c r="B171" s="3" t="str">
        <f t="shared" si="2"/>
        <v>J0713564--</v>
      </c>
      <c r="C171" s="2" t="s">
        <v>1607</v>
      </c>
      <c r="D171" s="2" t="s">
        <v>1380</v>
      </c>
      <c r="E171" s="2" t="s">
        <v>1608</v>
      </c>
      <c r="F171" s="2" t="s">
        <v>8</v>
      </c>
      <c r="G171" s="2" t="s">
        <v>2505</v>
      </c>
      <c r="H171" s="2" t="s">
        <v>1609</v>
      </c>
      <c r="I171" s="2"/>
      <c r="J171" s="2"/>
      <c r="K171" s="2" t="s">
        <v>1312</v>
      </c>
      <c r="L171" s="2"/>
      <c r="M171" s="2"/>
      <c r="N171" s="2"/>
      <c r="O171" s="2"/>
      <c r="P171" s="2"/>
      <c r="Q171" s="2"/>
      <c r="R171" s="2"/>
      <c r="S171" s="2"/>
      <c r="T171" s="2" t="s">
        <v>1583</v>
      </c>
    </row>
    <row r="172" spans="1:20" ht="30" hidden="1" x14ac:dyDescent="0.25">
      <c r="A172" t="str">
        <f>INDEX('Orig (V1_BCK)'!$C:$C,MATCH($B172,'Orig (V1_BCK)'!$C:$C,0),1)</f>
        <v>J0717255--I6567006</v>
      </c>
      <c r="B172" s="3" t="str">
        <f t="shared" si="2"/>
        <v>J0717255--I6567006</v>
      </c>
      <c r="C172" s="2" t="s">
        <v>615</v>
      </c>
      <c r="D172" s="2" t="s">
        <v>490</v>
      </c>
      <c r="E172" s="2" t="s">
        <v>616</v>
      </c>
      <c r="F172" s="2" t="s">
        <v>617</v>
      </c>
      <c r="G172" s="2" t="s">
        <v>2155</v>
      </c>
      <c r="H172" s="2" t="s">
        <v>618</v>
      </c>
      <c r="I172" s="2"/>
      <c r="J172" s="2" t="s">
        <v>619</v>
      </c>
      <c r="K172" s="2" t="s">
        <v>2156</v>
      </c>
      <c r="L172" s="2"/>
      <c r="M172" s="2" t="s">
        <v>620</v>
      </c>
      <c r="N172" s="2"/>
      <c r="O172" s="2" t="s">
        <v>621</v>
      </c>
      <c r="P172" s="2"/>
      <c r="Q172" s="2" t="s">
        <v>622</v>
      </c>
      <c r="R172" s="2"/>
      <c r="S172" s="2"/>
      <c r="T172" s="2" t="s">
        <v>2083</v>
      </c>
    </row>
    <row r="173" spans="1:20" ht="45" hidden="1" x14ac:dyDescent="0.25">
      <c r="A173" t="e">
        <f>INDEX('Orig (V1_BCK)'!$C:$C,MATCH($B173,'Orig (V1_BCK)'!$C:$C,0),1)</f>
        <v>#N/A</v>
      </c>
      <c r="B173" s="3" t="str">
        <f t="shared" si="2"/>
        <v>J0752729--</v>
      </c>
      <c r="C173" s="2" t="s">
        <v>1868</v>
      </c>
      <c r="D173" s="2" t="s">
        <v>24</v>
      </c>
      <c r="E173" s="2" t="s">
        <v>1869</v>
      </c>
      <c r="F173" s="2" t="s">
        <v>1870</v>
      </c>
      <c r="G173" s="2" t="s">
        <v>2583</v>
      </c>
      <c r="H173" s="2" t="s">
        <v>1871</v>
      </c>
      <c r="I173" s="2"/>
      <c r="J173" s="2"/>
      <c r="K173" s="2" t="s">
        <v>1312</v>
      </c>
      <c r="L173" s="2"/>
      <c r="M173" s="2"/>
      <c r="N173" s="2"/>
      <c r="O173" s="2"/>
      <c r="P173" s="2"/>
      <c r="Q173" s="2"/>
      <c r="R173" s="2"/>
      <c r="S173" s="2"/>
      <c r="T173" s="2" t="s">
        <v>2041</v>
      </c>
    </row>
    <row r="174" spans="1:20" s="7" customFormat="1" hidden="1" x14ac:dyDescent="0.25">
      <c r="A174" s="4" t="e">
        <f>INDEX('Orig (V1_BCK)'!$C:$C,MATCH($B174,'Orig (V1_BCK)'!$C:$C,0),1)</f>
        <v>#N/A</v>
      </c>
      <c r="B174" s="5" t="str">
        <f t="shared" si="2"/>
        <v>J1002613--</v>
      </c>
      <c r="C174" s="6" t="s">
        <v>495</v>
      </c>
      <c r="D174" s="6" t="s">
        <v>173</v>
      </c>
      <c r="E174" s="6" t="s">
        <v>12</v>
      </c>
      <c r="F174" s="6" t="s">
        <v>496</v>
      </c>
      <c r="G174" s="6" t="s">
        <v>2104</v>
      </c>
      <c r="H174" s="6" t="s">
        <v>497</v>
      </c>
      <c r="I174" s="6"/>
      <c r="J174" s="6"/>
      <c r="K174" s="6" t="s">
        <v>2105</v>
      </c>
      <c r="L174" s="6"/>
      <c r="M174" s="6"/>
      <c r="N174" s="6"/>
      <c r="O174" s="6"/>
      <c r="P174" s="6"/>
      <c r="Q174" s="6"/>
      <c r="R174" s="6"/>
      <c r="S174" s="6"/>
      <c r="T174" s="6" t="s">
        <v>2071</v>
      </c>
    </row>
    <row r="175" spans="1:20" hidden="1" x14ac:dyDescent="0.25">
      <c r="A175" t="e">
        <f>INDEX('Orig (V1_BCK)'!$C:$C,MATCH($B175,'Orig (V1_BCK)'!$C:$C,0),1)</f>
        <v>#N/A</v>
      </c>
      <c r="B175" s="3" t="str">
        <f t="shared" si="2"/>
        <v>J1420010--</v>
      </c>
      <c r="C175" s="2" t="s">
        <v>1753</v>
      </c>
      <c r="D175" s="2" t="s">
        <v>1332</v>
      </c>
      <c r="E175" s="2" t="s">
        <v>1754</v>
      </c>
      <c r="F175" s="2" t="s">
        <v>1755</v>
      </c>
      <c r="G175" s="2" t="s">
        <v>2548</v>
      </c>
      <c r="H175" s="2" t="s">
        <v>1756</v>
      </c>
      <c r="I175" s="2"/>
      <c r="J175" s="2"/>
      <c r="K175" s="2" t="s">
        <v>1312</v>
      </c>
      <c r="L175" s="2"/>
      <c r="M175" s="2"/>
      <c r="N175" s="2"/>
      <c r="O175" s="2"/>
      <c r="P175" s="2"/>
      <c r="Q175" s="2"/>
      <c r="R175" s="2"/>
      <c r="S175" s="2"/>
      <c r="T175" s="2" t="s">
        <v>2041</v>
      </c>
    </row>
    <row r="176" spans="1:20" ht="45" hidden="1" x14ac:dyDescent="0.25">
      <c r="A176" t="e">
        <f>INDEX('Orig (V1_BCK)'!$C:$C,MATCH($B176,'Orig (V1_BCK)'!$C:$C,0),1)</f>
        <v>#N/A</v>
      </c>
      <c r="B176" s="3" t="str">
        <f t="shared" si="2"/>
        <v>J1504748--</v>
      </c>
      <c r="C176" s="2" t="s">
        <v>1971</v>
      </c>
      <c r="D176" s="2" t="s">
        <v>438</v>
      </c>
      <c r="E176" s="2" t="s">
        <v>1972</v>
      </c>
      <c r="F176" s="2" t="s">
        <v>1973</v>
      </c>
      <c r="G176" s="2" t="s">
        <v>2613</v>
      </c>
      <c r="H176" s="2" t="s">
        <v>1974</v>
      </c>
      <c r="I176" s="2"/>
      <c r="J176" s="2"/>
      <c r="K176" s="2" t="s">
        <v>1312</v>
      </c>
      <c r="L176" s="2"/>
      <c r="M176" s="2"/>
      <c r="N176" s="2"/>
      <c r="O176" s="2"/>
      <c r="P176" s="2"/>
      <c r="Q176" s="2"/>
      <c r="R176" s="2"/>
      <c r="S176" s="2"/>
      <c r="T176" s="2" t="s">
        <v>2041</v>
      </c>
    </row>
    <row r="177" spans="1:20" ht="30" hidden="1" x14ac:dyDescent="0.25">
      <c r="A177" t="e">
        <f>INDEX('Orig (V1_BCK)'!$C:$C,MATCH($B177,'Orig (V1_BCK)'!$C:$C,0),1)</f>
        <v>#N/A</v>
      </c>
      <c r="B177" s="3" t="str">
        <f t="shared" si="2"/>
        <v>J1623987--</v>
      </c>
      <c r="C177" s="2" t="s">
        <v>1552</v>
      </c>
      <c r="D177" s="2" t="s">
        <v>438</v>
      </c>
      <c r="E177" s="2" t="s">
        <v>1553</v>
      </c>
      <c r="F177" s="2" t="s">
        <v>29</v>
      </c>
      <c r="G177" s="2" t="s">
        <v>2489</v>
      </c>
      <c r="H177" s="2" t="s">
        <v>1554</v>
      </c>
      <c r="I177" s="2"/>
      <c r="J177" s="2"/>
      <c r="K177" s="2" t="s">
        <v>1312</v>
      </c>
      <c r="L177" s="2"/>
      <c r="M177" s="2"/>
      <c r="N177" s="2"/>
      <c r="O177" s="2"/>
      <c r="P177" s="2"/>
      <c r="Q177" s="2"/>
      <c r="R177" s="2"/>
      <c r="S177" s="2"/>
      <c r="T177" s="2" t="s">
        <v>107</v>
      </c>
    </row>
    <row r="178" spans="1:20" hidden="1" x14ac:dyDescent="0.25">
      <c r="A178" t="e">
        <f>INDEX('Orig (V1_BCK)'!$C:$C,MATCH($B178,'Orig (V1_BCK)'!$C:$C,0),1)</f>
        <v>#N/A</v>
      </c>
      <c r="B178" s="3" t="str">
        <f t="shared" si="2"/>
        <v>J1639234--</v>
      </c>
      <c r="C178" s="2" t="s">
        <v>1917</v>
      </c>
      <c r="D178" s="2" t="s">
        <v>809</v>
      </c>
      <c r="E178" s="2" t="s">
        <v>1918</v>
      </c>
      <c r="F178" s="2" t="s">
        <v>8</v>
      </c>
      <c r="G178" s="2" t="s">
        <v>2596</v>
      </c>
      <c r="H178" s="2" t="s">
        <v>1919</v>
      </c>
      <c r="I178" s="2"/>
      <c r="J178" s="2"/>
      <c r="K178" s="2" t="s">
        <v>1312</v>
      </c>
      <c r="L178" s="2"/>
      <c r="M178" s="2"/>
      <c r="N178" s="2"/>
      <c r="O178" s="2"/>
      <c r="P178" s="2"/>
      <c r="Q178" s="2"/>
      <c r="R178" s="2"/>
      <c r="S178" s="2"/>
      <c r="T178" s="2" t="s">
        <v>2041</v>
      </c>
    </row>
    <row r="179" spans="1:20" hidden="1" x14ac:dyDescent="0.25">
      <c r="A179" t="str">
        <f>INDEX('Orig (V1_BCK)'!$C:$C,MATCH($B179,'Orig (V1_BCK)'!$C:$C,0),1)</f>
        <v>J1776207-J1776207-</v>
      </c>
      <c r="B179" s="3" t="str">
        <f t="shared" si="2"/>
        <v>J1776207-J1776207-</v>
      </c>
      <c r="C179" s="2" t="s">
        <v>502</v>
      </c>
      <c r="D179" s="2" t="s">
        <v>438</v>
      </c>
      <c r="E179" s="2" t="s">
        <v>503</v>
      </c>
      <c r="F179" s="2" t="s">
        <v>504</v>
      </c>
      <c r="G179" s="2" t="s">
        <v>2107</v>
      </c>
      <c r="H179" s="2" t="s">
        <v>505</v>
      </c>
      <c r="I179" s="2" t="s">
        <v>502</v>
      </c>
      <c r="J179" s="2"/>
      <c r="K179" s="2" t="s">
        <v>2108</v>
      </c>
      <c r="L179" s="2" t="s">
        <v>438</v>
      </c>
      <c r="M179" s="2"/>
      <c r="N179" s="2" t="s">
        <v>503</v>
      </c>
      <c r="O179" s="2"/>
      <c r="P179" s="2" t="s">
        <v>504</v>
      </c>
      <c r="Q179" s="2"/>
      <c r="R179" s="2"/>
      <c r="S179" s="2"/>
      <c r="T179" s="2" t="s">
        <v>2071</v>
      </c>
    </row>
    <row r="180" spans="1:20" ht="30" hidden="1" x14ac:dyDescent="0.25">
      <c r="A180" t="str">
        <f>INDEX('Orig (V1_BCK)'!$C:$C,MATCH($B180,'Orig (V1_BCK)'!$C:$C,0),1)</f>
        <v>J1842217-J1842217-</v>
      </c>
      <c r="B180" s="3" t="str">
        <f t="shared" si="2"/>
        <v>J1842217-J1842217-</v>
      </c>
      <c r="C180" s="2" t="s">
        <v>457</v>
      </c>
      <c r="D180" s="2" t="s">
        <v>458</v>
      </c>
      <c r="E180" s="2" t="s">
        <v>459</v>
      </c>
      <c r="F180" s="2" t="s">
        <v>460</v>
      </c>
      <c r="G180" s="2" t="s">
        <v>2087</v>
      </c>
      <c r="H180" s="2" t="s">
        <v>614</v>
      </c>
      <c r="I180" s="2" t="s">
        <v>457</v>
      </c>
      <c r="J180" s="2"/>
      <c r="K180" s="2" t="s">
        <v>2154</v>
      </c>
      <c r="L180" s="2" t="s">
        <v>458</v>
      </c>
      <c r="M180" s="2"/>
      <c r="N180" s="2" t="s">
        <v>459</v>
      </c>
      <c r="O180" s="2"/>
      <c r="P180" s="2" t="s">
        <v>460</v>
      </c>
      <c r="Q180" s="2"/>
      <c r="R180" s="2"/>
      <c r="S180" s="2"/>
      <c r="T180" s="2" t="s">
        <v>2083</v>
      </c>
    </row>
    <row r="181" spans="1:20" ht="30" hidden="1" x14ac:dyDescent="0.25">
      <c r="A181" t="str">
        <f>INDEX('Orig (V1_BCK)'!$C:$C,MATCH($B181,'Orig (V1_BCK)'!$C:$C,0),1)</f>
        <v>J2161690-J2161690-</v>
      </c>
      <c r="B181" s="3" t="str">
        <f t="shared" si="2"/>
        <v>J2161690-J2161690-</v>
      </c>
      <c r="C181" s="2" t="s">
        <v>470</v>
      </c>
      <c r="D181" s="2" t="s">
        <v>458</v>
      </c>
      <c r="E181" s="2" t="s">
        <v>8</v>
      </c>
      <c r="F181" s="2" t="s">
        <v>471</v>
      </c>
      <c r="G181" s="2" t="s">
        <v>2091</v>
      </c>
      <c r="H181" s="2" t="s">
        <v>485</v>
      </c>
      <c r="I181" s="2" t="s">
        <v>470</v>
      </c>
      <c r="J181" s="2"/>
      <c r="K181" s="2" t="s">
        <v>2099</v>
      </c>
      <c r="L181" s="2" t="s">
        <v>458</v>
      </c>
      <c r="M181" s="2"/>
      <c r="N181" s="2" t="s">
        <v>8</v>
      </c>
      <c r="O181" s="2"/>
      <c r="P181" s="2" t="s">
        <v>471</v>
      </c>
      <c r="Q181" s="2"/>
      <c r="R181" s="2"/>
      <c r="S181" s="2"/>
      <c r="T181" s="2" t="s">
        <v>2080</v>
      </c>
    </row>
    <row r="182" spans="1:20" ht="45" hidden="1" x14ac:dyDescent="0.25">
      <c r="A182" t="e">
        <f>INDEX('Orig (V1_BCK)'!$C:$C,MATCH($B182,'Orig (V1_BCK)'!$C:$C,0),1)</f>
        <v>#N/A</v>
      </c>
      <c r="B182" s="3" t="str">
        <f t="shared" si="2"/>
        <v>J2410497--</v>
      </c>
      <c r="C182" s="2" t="s">
        <v>1772</v>
      </c>
      <c r="D182" s="2" t="s">
        <v>490</v>
      </c>
      <c r="E182" s="2" t="s">
        <v>712</v>
      </c>
      <c r="F182" s="2" t="s">
        <v>1773</v>
      </c>
      <c r="G182" s="2" t="s">
        <v>2553</v>
      </c>
      <c r="H182" s="2" t="s">
        <v>1774</v>
      </c>
      <c r="I182" s="2"/>
      <c r="J182" s="2"/>
      <c r="K182" s="2" t="s">
        <v>1312</v>
      </c>
      <c r="L182" s="2"/>
      <c r="M182" s="2"/>
      <c r="N182" s="2"/>
      <c r="O182" s="2"/>
      <c r="P182" s="2"/>
      <c r="Q182" s="2"/>
      <c r="R182" s="2"/>
      <c r="S182" s="2"/>
      <c r="T182" s="2" t="s">
        <v>2041</v>
      </c>
    </row>
    <row r="183" spans="1:20" hidden="1" x14ac:dyDescent="0.25">
      <c r="A183" t="e">
        <f>INDEX('Orig (V1_BCK)'!$C:$C,MATCH($B183,'Orig (V1_BCK)'!$C:$C,0),1)</f>
        <v>#N/A</v>
      </c>
      <c r="B183" s="3" t="str">
        <f t="shared" si="2"/>
        <v>J2535177--</v>
      </c>
      <c r="C183" s="2" t="s">
        <v>2016</v>
      </c>
      <c r="D183" s="2" t="s">
        <v>2017</v>
      </c>
      <c r="E183" s="2" t="s">
        <v>1731</v>
      </c>
      <c r="F183" s="2" t="s">
        <v>493</v>
      </c>
      <c r="G183" s="2" t="s">
        <v>2629</v>
      </c>
      <c r="H183" s="2" t="s">
        <v>2018</v>
      </c>
      <c r="I183" s="2"/>
      <c r="J183" s="2"/>
      <c r="K183" s="2" t="s">
        <v>1312</v>
      </c>
      <c r="L183" s="2"/>
      <c r="M183" s="2"/>
      <c r="N183" s="2"/>
      <c r="O183" s="2"/>
      <c r="P183" s="2"/>
      <c r="Q183" s="2"/>
      <c r="R183" s="2"/>
      <c r="S183" s="2"/>
      <c r="T183" s="2" t="s">
        <v>2397</v>
      </c>
    </row>
    <row r="184" spans="1:20" ht="30" hidden="1" x14ac:dyDescent="0.25">
      <c r="A184" t="e">
        <f>INDEX('Orig (V1_BCK)'!$C:$C,MATCH($B184,'Orig (V1_BCK)'!$C:$C,0),1)</f>
        <v>#N/A</v>
      </c>
      <c r="B184" s="3" t="str">
        <f t="shared" si="2"/>
        <v>J2543295--</v>
      </c>
      <c r="C184" s="2" t="s">
        <v>795</v>
      </c>
      <c r="D184" s="2" t="s">
        <v>796</v>
      </c>
      <c r="E184" s="2" t="s">
        <v>797</v>
      </c>
      <c r="F184" s="2" t="s">
        <v>798</v>
      </c>
      <c r="G184" s="2" t="s">
        <v>2220</v>
      </c>
      <c r="H184" s="2" t="s">
        <v>614</v>
      </c>
      <c r="I184" s="2"/>
      <c r="J184" s="2"/>
      <c r="K184" s="2" t="s">
        <v>1312</v>
      </c>
      <c r="L184" s="2"/>
      <c r="M184" s="2"/>
      <c r="N184" s="2"/>
      <c r="O184" s="2"/>
      <c r="P184" s="2"/>
      <c r="Q184" s="2"/>
      <c r="R184" s="2"/>
      <c r="S184" s="2"/>
      <c r="T184" s="2" t="s">
        <v>2046</v>
      </c>
    </row>
    <row r="185" spans="1:20" ht="45" hidden="1" x14ac:dyDescent="0.25">
      <c r="A185" t="e">
        <f>INDEX('Orig (V1_BCK)'!$C:$C,MATCH($B185,'Orig (V1_BCK)'!$C:$C,0),1)</f>
        <v>#N/A</v>
      </c>
      <c r="B185" s="3" t="str">
        <f t="shared" si="2"/>
        <v>J2573493--</v>
      </c>
      <c r="C185" s="2" t="s">
        <v>1848</v>
      </c>
      <c r="D185" s="2" t="s">
        <v>1849</v>
      </c>
      <c r="E185" s="2" t="s">
        <v>1850</v>
      </c>
      <c r="F185" s="2" t="s">
        <v>45</v>
      </c>
      <c r="G185" s="2" t="s">
        <v>2578</v>
      </c>
      <c r="H185" s="2" t="s">
        <v>1851</v>
      </c>
      <c r="I185" s="2"/>
      <c r="J185" s="2"/>
      <c r="K185" s="2" t="s">
        <v>1312</v>
      </c>
      <c r="L185" s="2"/>
      <c r="M185" s="2"/>
      <c r="N185" s="2"/>
      <c r="O185" s="2"/>
      <c r="P185" s="2"/>
      <c r="Q185" s="2"/>
      <c r="R185" s="2"/>
      <c r="S185" s="2"/>
      <c r="T185" s="2" t="s">
        <v>2041</v>
      </c>
    </row>
    <row r="186" spans="1:20" ht="30" hidden="1" x14ac:dyDescent="0.25">
      <c r="A186" t="e">
        <f>INDEX('Orig (V1_BCK)'!$C:$C,MATCH($B186,'Orig (V1_BCK)'!$C:$C,0),1)</f>
        <v>#N/A</v>
      </c>
      <c r="B186" s="3" t="str">
        <f t="shared" si="2"/>
        <v>J2668278--</v>
      </c>
      <c r="C186" s="2" t="s">
        <v>1578</v>
      </c>
      <c r="D186" s="2" t="s">
        <v>1579</v>
      </c>
      <c r="E186" s="2" t="s">
        <v>1580</v>
      </c>
      <c r="F186" s="2" t="s">
        <v>1581</v>
      </c>
      <c r="G186" s="2" t="s">
        <v>2497</v>
      </c>
      <c r="H186" s="2" t="s">
        <v>1582</v>
      </c>
      <c r="I186" s="2"/>
      <c r="J186" s="2"/>
      <c r="K186" s="2" t="s">
        <v>1312</v>
      </c>
      <c r="L186" s="2"/>
      <c r="M186" s="2"/>
      <c r="N186" s="2"/>
      <c r="O186" s="2"/>
      <c r="P186" s="2"/>
      <c r="Q186" s="2"/>
      <c r="R186" s="2"/>
      <c r="S186" s="2"/>
      <c r="T186" s="2" t="s">
        <v>1583</v>
      </c>
    </row>
    <row r="187" spans="1:20" ht="30" hidden="1" x14ac:dyDescent="0.25">
      <c r="A187" t="str">
        <f>INDEX('Orig (V1_BCK)'!$C:$C,MATCH($B187,'Orig (V1_BCK)'!$C:$C,0),1)</f>
        <v>J2702276--J7231919</v>
      </c>
      <c r="B187" s="3" t="str">
        <f t="shared" si="2"/>
        <v>J2702276--J7231919</v>
      </c>
      <c r="C187" s="2" t="s">
        <v>678</v>
      </c>
      <c r="D187" s="2" t="s">
        <v>679</v>
      </c>
      <c r="E187" s="2" t="s">
        <v>493</v>
      </c>
      <c r="F187" s="2" t="s">
        <v>680</v>
      </c>
      <c r="G187" s="2" t="s">
        <v>2176</v>
      </c>
      <c r="H187" s="2" t="s">
        <v>681</v>
      </c>
      <c r="I187" s="2"/>
      <c r="J187" s="2" t="s">
        <v>682</v>
      </c>
      <c r="K187" s="2" t="s">
        <v>2177</v>
      </c>
      <c r="L187" s="2"/>
      <c r="M187" s="2" t="s">
        <v>438</v>
      </c>
      <c r="N187" s="2"/>
      <c r="O187" s="2" t="s">
        <v>683</v>
      </c>
      <c r="P187" s="2"/>
      <c r="Q187" s="2" t="s">
        <v>684</v>
      </c>
      <c r="R187" s="2"/>
      <c r="S187" s="2"/>
      <c r="T187" s="2" t="s">
        <v>2046</v>
      </c>
    </row>
    <row r="188" spans="1:20" hidden="1" x14ac:dyDescent="0.25">
      <c r="A188" t="str">
        <f>INDEX('Orig (V1_BCK)'!$C:$C,MATCH($B188,'Orig (V1_BCK)'!$C:$C,0),1)</f>
        <v>J2778182--V9086179</v>
      </c>
      <c r="B188" s="3" t="str">
        <f t="shared" si="2"/>
        <v>J2778182--V9086179</v>
      </c>
      <c r="C188" s="2" t="s">
        <v>707</v>
      </c>
      <c r="D188" s="2" t="s">
        <v>173</v>
      </c>
      <c r="E188" s="2" t="s">
        <v>557</v>
      </c>
      <c r="F188" s="2" t="s">
        <v>708</v>
      </c>
      <c r="G188" s="2" t="s">
        <v>2186</v>
      </c>
      <c r="H188" s="2" t="s">
        <v>709</v>
      </c>
      <c r="I188" s="2"/>
      <c r="J188" s="2" t="s">
        <v>710</v>
      </c>
      <c r="K188" s="2" t="s">
        <v>2187</v>
      </c>
      <c r="L188" s="2"/>
      <c r="M188" s="2" t="s">
        <v>711</v>
      </c>
      <c r="N188" s="2"/>
      <c r="O188" s="2" t="s">
        <v>700</v>
      </c>
      <c r="P188" s="2"/>
      <c r="Q188" s="2" t="s">
        <v>712</v>
      </c>
      <c r="R188" s="2"/>
      <c r="S188" s="2"/>
      <c r="T188" s="2" t="s">
        <v>2083</v>
      </c>
    </row>
    <row r="189" spans="1:20" hidden="1" x14ac:dyDescent="0.25">
      <c r="A189" t="e">
        <f>INDEX('Orig (V1_BCK)'!$C:$C,MATCH($B189,'Orig (V1_BCK)'!$C:$C,0),1)</f>
        <v>#N/A</v>
      </c>
      <c r="B189" s="3" t="str">
        <f t="shared" si="2"/>
        <v>J2987864--</v>
      </c>
      <c r="C189" s="2" t="s">
        <v>1319</v>
      </c>
      <c r="D189" s="2" t="s">
        <v>1320</v>
      </c>
      <c r="E189" s="2" t="s">
        <v>1321</v>
      </c>
      <c r="F189" s="2" t="s">
        <v>105</v>
      </c>
      <c r="G189" s="2" t="s">
        <v>2417</v>
      </c>
      <c r="H189" s="2" t="s">
        <v>693</v>
      </c>
      <c r="I189" s="2"/>
      <c r="J189" s="2"/>
      <c r="K189" s="2" t="s">
        <v>1312</v>
      </c>
      <c r="L189" s="2"/>
      <c r="M189" s="2"/>
      <c r="N189" s="2"/>
      <c r="O189" s="2"/>
      <c r="P189" s="2"/>
      <c r="Q189" s="2"/>
      <c r="R189" s="2"/>
      <c r="S189" s="2"/>
      <c r="T189" s="2" t="s">
        <v>2071</v>
      </c>
    </row>
    <row r="190" spans="1:20" ht="45" hidden="1" x14ac:dyDescent="0.25">
      <c r="A190" t="e">
        <f>INDEX('Orig (V1_BCK)'!$C:$C,MATCH($B190,'Orig (V1_BCK)'!$C:$C,0),1)</f>
        <v>#N/A</v>
      </c>
      <c r="B190" s="3" t="str">
        <f t="shared" si="2"/>
        <v>J2992501--</v>
      </c>
      <c r="C190" s="2" t="s">
        <v>1905</v>
      </c>
      <c r="D190" s="2" t="s">
        <v>661</v>
      </c>
      <c r="E190" s="2" t="s">
        <v>29</v>
      </c>
      <c r="F190" s="2" t="s">
        <v>1906</v>
      </c>
      <c r="G190" s="2" t="s">
        <v>2592</v>
      </c>
      <c r="H190" s="2" t="s">
        <v>1907</v>
      </c>
      <c r="I190" s="2"/>
      <c r="J190" s="2"/>
      <c r="K190" s="2" t="s">
        <v>1312</v>
      </c>
      <c r="L190" s="2"/>
      <c r="M190" s="2"/>
      <c r="N190" s="2"/>
      <c r="O190" s="2"/>
      <c r="P190" s="2"/>
      <c r="Q190" s="2"/>
      <c r="R190" s="2"/>
      <c r="S190" s="2"/>
      <c r="T190" s="2" t="s">
        <v>2041</v>
      </c>
    </row>
    <row r="191" spans="1:20" hidden="1" x14ac:dyDescent="0.25">
      <c r="A191" t="e">
        <f>INDEX('Orig (V1_BCK)'!$C:$C,MATCH($B191,'Orig (V1_BCK)'!$C:$C,0),1)</f>
        <v>#N/A</v>
      </c>
      <c r="B191" s="3" t="str">
        <f t="shared" si="2"/>
        <v>J3166314--</v>
      </c>
      <c r="C191" s="2" t="s">
        <v>1309</v>
      </c>
      <c r="D191" s="2" t="s">
        <v>438</v>
      </c>
      <c r="E191" s="2" t="s">
        <v>29</v>
      </c>
      <c r="F191" s="2" t="s">
        <v>1310</v>
      </c>
      <c r="G191" s="2" t="s">
        <v>2414</v>
      </c>
      <c r="H191" s="2" t="s">
        <v>1311</v>
      </c>
      <c r="I191" s="2"/>
      <c r="J191" s="2"/>
      <c r="K191" s="2" t="s">
        <v>1312</v>
      </c>
      <c r="L191" s="2"/>
      <c r="M191" s="2"/>
      <c r="N191" s="2"/>
      <c r="O191" s="2"/>
      <c r="P191" s="2"/>
      <c r="Q191" s="2"/>
      <c r="R191" s="2"/>
      <c r="S191" s="2"/>
      <c r="T191" s="2" t="s">
        <v>2080</v>
      </c>
    </row>
    <row r="192" spans="1:20" ht="30" hidden="1" x14ac:dyDescent="0.25">
      <c r="A192" t="e">
        <f>INDEX('Orig (V1_BCK)'!$C:$C,MATCH($B192,'Orig (V1_BCK)'!$C:$C,0),1)</f>
        <v>#N/A</v>
      </c>
      <c r="B192" s="3" t="str">
        <f t="shared" si="2"/>
        <v>J3205515--</v>
      </c>
      <c r="C192" s="2" t="s">
        <v>2002</v>
      </c>
      <c r="D192" s="2" t="s">
        <v>552</v>
      </c>
      <c r="E192" s="2" t="s">
        <v>704</v>
      </c>
      <c r="F192" s="2" t="s">
        <v>29</v>
      </c>
      <c r="G192" s="2" t="s">
        <v>2625</v>
      </c>
      <c r="H192" s="2" t="s">
        <v>2003</v>
      </c>
      <c r="I192" s="2"/>
      <c r="J192" s="2"/>
      <c r="K192" s="2" t="s">
        <v>1312</v>
      </c>
      <c r="L192" s="2"/>
      <c r="M192" s="2"/>
      <c r="N192" s="2"/>
      <c r="O192" s="2"/>
      <c r="P192" s="2"/>
      <c r="Q192" s="2"/>
      <c r="R192" s="2"/>
      <c r="S192" s="2"/>
      <c r="T192" s="2" t="s">
        <v>2080</v>
      </c>
    </row>
    <row r="193" spans="1:20" hidden="1" x14ac:dyDescent="0.25">
      <c r="A193" t="e">
        <f>INDEX('Orig (V1_BCK)'!$C:$C,MATCH($B193,'Orig (V1_BCK)'!$C:$C,0),1)</f>
        <v>#N/A</v>
      </c>
      <c r="B193" s="3" t="str">
        <f t="shared" si="2"/>
        <v>J3274971--</v>
      </c>
      <c r="C193" s="2" t="s">
        <v>1655</v>
      </c>
      <c r="D193" s="2" t="s">
        <v>127</v>
      </c>
      <c r="E193" s="2" t="s">
        <v>666</v>
      </c>
      <c r="F193" s="2" t="s">
        <v>1656</v>
      </c>
      <c r="G193" s="2" t="s">
        <v>2519</v>
      </c>
      <c r="H193" s="2" t="s">
        <v>2519</v>
      </c>
      <c r="I193" s="2"/>
      <c r="J193" s="2"/>
      <c r="K193" s="2" t="s">
        <v>1312</v>
      </c>
      <c r="L193" s="2"/>
      <c r="M193" s="2"/>
      <c r="N193" s="2"/>
      <c r="O193" s="2"/>
      <c r="P193" s="2"/>
      <c r="Q193" s="2"/>
      <c r="R193" s="2"/>
      <c r="S193" s="2"/>
      <c r="T193" s="2" t="s">
        <v>2080</v>
      </c>
    </row>
    <row r="194" spans="1:20" ht="30" hidden="1" x14ac:dyDescent="0.25">
      <c r="A194" t="e">
        <f>INDEX('Orig (V1_BCK)'!$C:$C,MATCH($B194,'Orig (V1_BCK)'!$C:$C,0),1)</f>
        <v>#N/A</v>
      </c>
      <c r="B194" s="3" t="str">
        <f t="shared" si="2"/>
        <v>J3315005--</v>
      </c>
      <c r="C194" s="2" t="s">
        <v>1749</v>
      </c>
      <c r="D194" s="2" t="s">
        <v>776</v>
      </c>
      <c r="E194" s="2" t="s">
        <v>1750</v>
      </c>
      <c r="F194" s="2" t="s">
        <v>1751</v>
      </c>
      <c r="G194" s="2" t="s">
        <v>2547</v>
      </c>
      <c r="H194" s="2" t="s">
        <v>1752</v>
      </c>
      <c r="I194" s="2"/>
      <c r="J194" s="2"/>
      <c r="K194" s="2" t="s">
        <v>1312</v>
      </c>
      <c r="L194" s="2"/>
      <c r="M194" s="2"/>
      <c r="N194" s="2"/>
      <c r="O194" s="2"/>
      <c r="P194" s="2"/>
      <c r="Q194" s="2"/>
      <c r="R194" s="2"/>
      <c r="S194" s="2"/>
      <c r="T194" s="2" t="s">
        <v>2041</v>
      </c>
    </row>
    <row r="195" spans="1:20" ht="45" hidden="1" x14ac:dyDescent="0.25">
      <c r="A195" t="e">
        <f>INDEX('Orig (V1_BCK)'!$C:$C,MATCH($B195,'Orig (V1_BCK)'!$C:$C,0),1)</f>
        <v>#N/A</v>
      </c>
      <c r="B195" s="3" t="str">
        <f t="shared" ref="B195:B258" si="3">_xlfn.TEXTJOIN("-",FALSE,$C195,$I195,$J195)</f>
        <v>J3474368--</v>
      </c>
      <c r="C195" s="2" t="s">
        <v>1789</v>
      </c>
      <c r="D195" s="2" t="s">
        <v>690</v>
      </c>
      <c r="E195" s="2" t="s">
        <v>1790</v>
      </c>
      <c r="F195" s="2" t="s">
        <v>1791</v>
      </c>
      <c r="G195" s="2" t="s">
        <v>2558</v>
      </c>
      <c r="H195" s="2" t="s">
        <v>1792</v>
      </c>
      <c r="I195" s="2"/>
      <c r="J195" s="2"/>
      <c r="K195" s="2" t="s">
        <v>1312</v>
      </c>
      <c r="L195" s="2"/>
      <c r="M195" s="2"/>
      <c r="N195" s="2"/>
      <c r="O195" s="2"/>
      <c r="P195" s="2"/>
      <c r="Q195" s="2"/>
      <c r="R195" s="2"/>
      <c r="S195" s="2"/>
      <c r="T195" s="2" t="s">
        <v>2041</v>
      </c>
    </row>
    <row r="196" spans="1:20" ht="30" hidden="1" x14ac:dyDescent="0.25">
      <c r="A196" t="e">
        <f>INDEX('Orig (V1_BCK)'!$C:$C,MATCH($B196,'Orig (V1_BCK)'!$C:$C,0),1)</f>
        <v>#N/A</v>
      </c>
      <c r="B196" s="3" t="str">
        <f t="shared" si="3"/>
        <v>J3477866--</v>
      </c>
      <c r="C196" s="2" t="s">
        <v>1914</v>
      </c>
      <c r="D196" s="2" t="s">
        <v>661</v>
      </c>
      <c r="E196" s="2" t="s">
        <v>1915</v>
      </c>
      <c r="F196" s="2" t="s">
        <v>493</v>
      </c>
      <c r="G196" s="2" t="s">
        <v>2595</v>
      </c>
      <c r="H196" s="2" t="s">
        <v>1916</v>
      </c>
      <c r="I196" s="2"/>
      <c r="J196" s="2"/>
      <c r="K196" s="2" t="s">
        <v>1312</v>
      </c>
      <c r="L196" s="2"/>
      <c r="M196" s="2"/>
      <c r="N196" s="2"/>
      <c r="O196" s="2"/>
      <c r="P196" s="2"/>
      <c r="Q196" s="2"/>
      <c r="R196" s="2"/>
      <c r="S196" s="2"/>
      <c r="T196" s="2" t="s">
        <v>2375</v>
      </c>
    </row>
    <row r="197" spans="1:20" hidden="1" x14ac:dyDescent="0.25">
      <c r="A197" t="str">
        <f>INDEX('Orig (V1_BCK)'!$C:$C,MATCH($B197,'Orig (V1_BCK)'!$C:$C,0),1)</f>
        <v>J3490141--I6825354</v>
      </c>
      <c r="B197" s="3" t="str">
        <f t="shared" si="3"/>
        <v>J3490141--I6825354</v>
      </c>
      <c r="C197" s="2" t="s">
        <v>594</v>
      </c>
      <c r="D197" s="2" t="s">
        <v>438</v>
      </c>
      <c r="E197" s="2" t="s">
        <v>595</v>
      </c>
      <c r="F197" s="2" t="s">
        <v>596</v>
      </c>
      <c r="G197" s="2" t="s">
        <v>2146</v>
      </c>
      <c r="H197" s="2" t="s">
        <v>597</v>
      </c>
      <c r="I197" s="2"/>
      <c r="J197" s="2" t="s">
        <v>491</v>
      </c>
      <c r="K197" s="2" t="s">
        <v>2102</v>
      </c>
      <c r="L197" s="2"/>
      <c r="M197" s="2" t="s">
        <v>492</v>
      </c>
      <c r="N197" s="2"/>
      <c r="O197" s="2" t="s">
        <v>493</v>
      </c>
      <c r="P197" s="2"/>
      <c r="Q197" s="2" t="s">
        <v>60</v>
      </c>
      <c r="R197" s="2"/>
      <c r="S197" s="2"/>
      <c r="T197" s="2" t="s">
        <v>2083</v>
      </c>
    </row>
    <row r="198" spans="1:20" ht="30" hidden="1" x14ac:dyDescent="0.25">
      <c r="A198" t="e">
        <f>INDEX('Orig (V1_BCK)'!$C:$C,MATCH($B198,'Orig (V1_BCK)'!$C:$C,0),1)</f>
        <v>#N/A</v>
      </c>
      <c r="B198" s="3" t="str">
        <f t="shared" si="3"/>
        <v>J3569452--</v>
      </c>
      <c r="C198" s="2" t="s">
        <v>1665</v>
      </c>
      <c r="D198" s="2" t="s">
        <v>1666</v>
      </c>
      <c r="E198" s="2" t="s">
        <v>12</v>
      </c>
      <c r="F198" s="2" t="s">
        <v>1667</v>
      </c>
      <c r="G198" s="2" t="s">
        <v>2522</v>
      </c>
      <c r="H198" s="2" t="s">
        <v>1668</v>
      </c>
      <c r="I198" s="2"/>
      <c r="J198" s="2"/>
      <c r="K198" s="2" t="s">
        <v>1312</v>
      </c>
      <c r="L198" s="2"/>
      <c r="M198" s="2"/>
      <c r="N198" s="2"/>
      <c r="O198" s="2"/>
      <c r="P198" s="2"/>
      <c r="Q198" s="2"/>
      <c r="R198" s="2"/>
      <c r="S198" s="2"/>
      <c r="T198" s="2" t="s">
        <v>2375</v>
      </c>
    </row>
    <row r="199" spans="1:20" ht="30" hidden="1" x14ac:dyDescent="0.25">
      <c r="A199" t="str">
        <f>INDEX('Orig (V1_BCK)'!$C:$C,MATCH($B199,'Orig (V1_BCK)'!$C:$C,0),1)</f>
        <v>J3577552-J3577552-</v>
      </c>
      <c r="B199" s="3" t="str">
        <f t="shared" si="3"/>
        <v>J3577552-J3577552-</v>
      </c>
      <c r="C199" s="2" t="s">
        <v>1046</v>
      </c>
      <c r="D199" s="2" t="s">
        <v>661</v>
      </c>
      <c r="E199" s="2" t="s">
        <v>1047</v>
      </c>
      <c r="F199" s="2" t="s">
        <v>1048</v>
      </c>
      <c r="G199" s="2" t="s">
        <v>2322</v>
      </c>
      <c r="H199" s="2" t="s">
        <v>1049</v>
      </c>
      <c r="I199" s="2" t="s">
        <v>1046</v>
      </c>
      <c r="J199" s="2"/>
      <c r="K199" s="2" t="s">
        <v>2323</v>
      </c>
      <c r="L199" s="2" t="s">
        <v>661</v>
      </c>
      <c r="M199" s="2"/>
      <c r="N199" s="2" t="s">
        <v>1047</v>
      </c>
      <c r="O199" s="2"/>
      <c r="P199" s="2" t="s">
        <v>1048</v>
      </c>
      <c r="Q199" s="2"/>
      <c r="R199" s="2"/>
      <c r="S199" s="2"/>
      <c r="T199" s="2" t="s">
        <v>2071</v>
      </c>
    </row>
    <row r="200" spans="1:20" ht="45" hidden="1" x14ac:dyDescent="0.25">
      <c r="A200" t="e">
        <f>INDEX('Orig (V1_BCK)'!$C:$C,MATCH($B200,'Orig (V1_BCK)'!$C:$C,0),1)</f>
        <v>#N/A</v>
      </c>
      <c r="B200" s="3" t="str">
        <f t="shared" si="3"/>
        <v>J3613261--</v>
      </c>
      <c r="C200" s="2" t="s">
        <v>1438</v>
      </c>
      <c r="D200" s="2" t="s">
        <v>1439</v>
      </c>
      <c r="E200" s="2" t="s">
        <v>1440</v>
      </c>
      <c r="F200" s="2" t="s">
        <v>1441</v>
      </c>
      <c r="G200" s="2" t="s">
        <v>2455</v>
      </c>
      <c r="H200" s="2" t="s">
        <v>1442</v>
      </c>
      <c r="I200" s="2"/>
      <c r="J200" s="2"/>
      <c r="K200" s="2" t="s">
        <v>1312</v>
      </c>
      <c r="L200" s="2"/>
      <c r="M200" s="2"/>
      <c r="N200" s="2"/>
      <c r="O200" s="2"/>
      <c r="P200" s="2"/>
      <c r="Q200" s="2"/>
      <c r="R200" s="2"/>
      <c r="S200" s="2"/>
      <c r="T200" s="2" t="s">
        <v>2375</v>
      </c>
    </row>
    <row r="201" spans="1:20" ht="45" hidden="1" x14ac:dyDescent="0.25">
      <c r="A201" t="e">
        <f>INDEX('Orig (V1_BCK)'!$C:$C,MATCH($B201,'Orig (V1_BCK)'!$C:$C,0),1)</f>
        <v>#N/A</v>
      </c>
      <c r="B201" s="3" t="str">
        <f t="shared" si="3"/>
        <v>J3626374--</v>
      </c>
      <c r="C201" s="2" t="s">
        <v>1947</v>
      </c>
      <c r="D201" s="2" t="s">
        <v>661</v>
      </c>
      <c r="E201" s="2" t="s">
        <v>541</v>
      </c>
      <c r="F201" s="2" t="s">
        <v>1948</v>
      </c>
      <c r="G201" s="2" t="s">
        <v>2606</v>
      </c>
      <c r="H201" s="2" t="s">
        <v>1949</v>
      </c>
      <c r="I201" s="2"/>
      <c r="J201" s="2"/>
      <c r="K201" s="2" t="s">
        <v>1312</v>
      </c>
      <c r="L201" s="2"/>
      <c r="M201" s="2"/>
      <c r="N201" s="2"/>
      <c r="O201" s="2"/>
      <c r="P201" s="2"/>
      <c r="Q201" s="2"/>
      <c r="R201" s="2"/>
      <c r="S201" s="2"/>
      <c r="T201" s="2" t="s">
        <v>2041</v>
      </c>
    </row>
    <row r="202" spans="1:20" ht="30" hidden="1" x14ac:dyDescent="0.25">
      <c r="A202" t="e">
        <f>INDEX('Orig (V1_BCK)'!$C:$C,MATCH($B202,'Orig (V1_BCK)'!$C:$C,0),1)</f>
        <v>#N/A</v>
      </c>
      <c r="B202" s="3" t="str">
        <f t="shared" si="3"/>
        <v>J4007232--</v>
      </c>
      <c r="C202" s="2" t="s">
        <v>1575</v>
      </c>
      <c r="D202" s="2" t="s">
        <v>1029</v>
      </c>
      <c r="E202" s="2" t="s">
        <v>1576</v>
      </c>
      <c r="F202" s="2" t="s">
        <v>1489</v>
      </c>
      <c r="G202" s="2" t="s">
        <v>2496</v>
      </c>
      <c r="H202" s="2" t="s">
        <v>1577</v>
      </c>
      <c r="I202" s="2"/>
      <c r="J202" s="2"/>
      <c r="K202" s="2" t="s">
        <v>1312</v>
      </c>
      <c r="L202" s="2"/>
      <c r="M202" s="2"/>
      <c r="N202" s="2"/>
      <c r="O202" s="2"/>
      <c r="P202" s="2"/>
      <c r="Q202" s="2"/>
      <c r="R202" s="2"/>
      <c r="S202" s="2"/>
      <c r="T202" s="2" t="s">
        <v>2375</v>
      </c>
    </row>
    <row r="203" spans="1:20" hidden="1" x14ac:dyDescent="0.25">
      <c r="A203" t="e">
        <f>INDEX('Orig (V1_BCK)'!$C:$C,MATCH($B203,'Orig (V1_BCK)'!$C:$C,0),1)</f>
        <v>#N/A</v>
      </c>
      <c r="B203" s="3" t="str">
        <f t="shared" si="3"/>
        <v>J4037244--</v>
      </c>
      <c r="C203" s="2" t="s">
        <v>1956</v>
      </c>
      <c r="D203" s="2" t="s">
        <v>438</v>
      </c>
      <c r="E203" s="2" t="s">
        <v>1957</v>
      </c>
      <c r="F203" s="2" t="s">
        <v>1958</v>
      </c>
      <c r="G203" s="2" t="s">
        <v>2609</v>
      </c>
      <c r="H203" s="2" t="s">
        <v>1959</v>
      </c>
      <c r="I203" s="2"/>
      <c r="J203" s="2"/>
      <c r="K203" s="2" t="s">
        <v>1312</v>
      </c>
      <c r="L203" s="2"/>
      <c r="M203" s="2"/>
      <c r="N203" s="2"/>
      <c r="O203" s="2"/>
      <c r="P203" s="2"/>
      <c r="Q203" s="2"/>
      <c r="R203" s="2"/>
      <c r="S203" s="2"/>
      <c r="T203" s="2" t="s">
        <v>2041</v>
      </c>
    </row>
    <row r="204" spans="1:20" ht="30" hidden="1" x14ac:dyDescent="0.25">
      <c r="A204" t="str">
        <f>INDEX('Orig (V1_BCK)'!$C:$C,MATCH($B204,'Orig (V1_BCK)'!$C:$C,0),1)</f>
        <v>J4045964-J4045964-</v>
      </c>
      <c r="B204" s="3" t="str">
        <f t="shared" si="3"/>
        <v>J4045964-J4045964-</v>
      </c>
      <c r="C204" s="2" t="s">
        <v>437</v>
      </c>
      <c r="D204" s="2" t="s">
        <v>438</v>
      </c>
      <c r="E204" s="2" t="s">
        <v>439</v>
      </c>
      <c r="F204" s="2" t="s">
        <v>440</v>
      </c>
      <c r="G204" s="2" t="s">
        <v>2078</v>
      </c>
      <c r="H204" s="2" t="s">
        <v>441</v>
      </c>
      <c r="I204" s="2" t="s">
        <v>437</v>
      </c>
      <c r="J204" s="2"/>
      <c r="K204" s="2" t="s">
        <v>2079</v>
      </c>
      <c r="L204" s="2" t="s">
        <v>438</v>
      </c>
      <c r="M204" s="2"/>
      <c r="N204" s="2" t="s">
        <v>439</v>
      </c>
      <c r="O204" s="2"/>
      <c r="P204" s="2" t="s">
        <v>440</v>
      </c>
      <c r="Q204" s="2"/>
      <c r="R204" s="2"/>
      <c r="S204" s="2"/>
      <c r="T204" s="2" t="s">
        <v>2080</v>
      </c>
    </row>
    <row r="205" spans="1:20" ht="30" hidden="1" x14ac:dyDescent="0.25">
      <c r="A205" t="e">
        <f>INDEX('Orig (V1_BCK)'!$C:$C,MATCH($B205,'Orig (V1_BCK)'!$C:$C,0),1)</f>
        <v>#N/A</v>
      </c>
      <c r="B205" s="3" t="str">
        <f t="shared" si="3"/>
        <v>J4163958--</v>
      </c>
      <c r="C205" s="2" t="s">
        <v>1598</v>
      </c>
      <c r="D205" s="2" t="s">
        <v>809</v>
      </c>
      <c r="E205" s="2" t="s">
        <v>1599</v>
      </c>
      <c r="F205" s="2" t="s">
        <v>29</v>
      </c>
      <c r="G205" s="2" t="s">
        <v>2502</v>
      </c>
      <c r="H205" s="2" t="s">
        <v>1600</v>
      </c>
      <c r="I205" s="2"/>
      <c r="J205" s="2"/>
      <c r="K205" s="2" t="s">
        <v>1312</v>
      </c>
      <c r="L205" s="2"/>
      <c r="M205" s="2"/>
      <c r="N205" s="2"/>
      <c r="O205" s="2"/>
      <c r="P205" s="2"/>
      <c r="Q205" s="2"/>
      <c r="R205" s="2"/>
      <c r="S205" s="2"/>
      <c r="T205" s="2" t="s">
        <v>47</v>
      </c>
    </row>
    <row r="206" spans="1:20" ht="30" hidden="1" x14ac:dyDescent="0.25">
      <c r="A206" t="str">
        <f>INDEX('Orig (V1_BCK)'!$C:$C,MATCH($B206,'Orig (V1_BCK)'!$C:$C,0),1)</f>
        <v>J4236790-J4236790-</v>
      </c>
      <c r="B206" s="3" t="str">
        <f t="shared" si="3"/>
        <v>J4236790-J4236790-</v>
      </c>
      <c r="C206" s="2" t="s">
        <v>555</v>
      </c>
      <c r="D206" s="2" t="s">
        <v>556</v>
      </c>
      <c r="E206" s="2" t="s">
        <v>515</v>
      </c>
      <c r="F206" s="2" t="s">
        <v>557</v>
      </c>
      <c r="G206" s="2" t="s">
        <v>2129</v>
      </c>
      <c r="H206" s="2" t="s">
        <v>558</v>
      </c>
      <c r="I206" s="2" t="s">
        <v>555</v>
      </c>
      <c r="J206" s="2"/>
      <c r="K206" s="2" t="s">
        <v>2130</v>
      </c>
      <c r="L206" s="2" t="s">
        <v>556</v>
      </c>
      <c r="M206" s="2"/>
      <c r="N206" s="2" t="s">
        <v>515</v>
      </c>
      <c r="O206" s="2"/>
      <c r="P206" s="2" t="s">
        <v>557</v>
      </c>
      <c r="Q206" s="2"/>
      <c r="R206" s="2"/>
      <c r="S206" s="2"/>
      <c r="T206" s="2" t="s">
        <v>2071</v>
      </c>
    </row>
    <row r="207" spans="1:20" hidden="1" x14ac:dyDescent="0.25">
      <c r="A207" t="str">
        <f>INDEX('Orig (V1_BCK)'!$C:$C,MATCH($B207,'Orig (V1_BCK)'!$C:$C,0),1)</f>
        <v>J4386477-J4386477-</v>
      </c>
      <c r="B207" s="3" t="str">
        <f t="shared" si="3"/>
        <v>J4386477-J4386477-</v>
      </c>
      <c r="C207" s="2" t="s">
        <v>977</v>
      </c>
      <c r="D207" s="2" t="s">
        <v>809</v>
      </c>
      <c r="E207" s="2" t="s">
        <v>978</v>
      </c>
      <c r="F207" s="2" t="s">
        <v>105</v>
      </c>
      <c r="G207" s="2" t="s">
        <v>2286</v>
      </c>
      <c r="H207" s="2" t="s">
        <v>979</v>
      </c>
      <c r="I207" s="2" t="s">
        <v>977</v>
      </c>
      <c r="J207" s="2"/>
      <c r="K207" s="2" t="s">
        <v>2287</v>
      </c>
      <c r="L207" s="2" t="s">
        <v>809</v>
      </c>
      <c r="M207" s="2"/>
      <c r="N207" s="2" t="s">
        <v>978</v>
      </c>
      <c r="O207" s="2"/>
      <c r="P207" s="2" t="s">
        <v>105</v>
      </c>
      <c r="Q207" s="2"/>
      <c r="R207" s="2"/>
      <c r="S207" s="2"/>
      <c r="T207" s="2" t="s">
        <v>2038</v>
      </c>
    </row>
    <row r="208" spans="1:20" ht="45" hidden="1" x14ac:dyDescent="0.25">
      <c r="A208" t="e">
        <f>INDEX('Orig (V1_BCK)'!$C:$C,MATCH($B208,'Orig (V1_BCK)'!$C:$C,0),1)</f>
        <v>#N/A</v>
      </c>
      <c r="B208" s="3" t="str">
        <f t="shared" si="3"/>
        <v>J4449014--</v>
      </c>
      <c r="C208" s="2" t="s">
        <v>1700</v>
      </c>
      <c r="D208" s="2" t="s">
        <v>1117</v>
      </c>
      <c r="E208" s="2" t="s">
        <v>1701</v>
      </c>
      <c r="F208" s="2" t="s">
        <v>21</v>
      </c>
      <c r="G208" s="2" t="s">
        <v>2532</v>
      </c>
      <c r="H208" s="2" t="s">
        <v>1702</v>
      </c>
      <c r="I208" s="2"/>
      <c r="J208" s="2"/>
      <c r="K208" s="2" t="s">
        <v>1312</v>
      </c>
      <c r="L208" s="2"/>
      <c r="M208" s="2"/>
      <c r="N208" s="2"/>
      <c r="O208" s="2"/>
      <c r="P208" s="2"/>
      <c r="Q208" s="2"/>
      <c r="R208" s="2"/>
      <c r="S208" s="2"/>
      <c r="T208" s="2" t="s">
        <v>2041</v>
      </c>
    </row>
    <row r="209" spans="1:20" ht="30" hidden="1" x14ac:dyDescent="0.25">
      <c r="A209" t="e">
        <f>INDEX('Orig (V1_BCK)'!$C:$C,MATCH($B209,'Orig (V1_BCK)'!$C:$C,0),1)</f>
        <v>#N/A</v>
      </c>
      <c r="B209" s="3" t="str">
        <f t="shared" si="3"/>
        <v>J4592936--</v>
      </c>
      <c r="C209" s="2" t="s">
        <v>1454</v>
      </c>
      <c r="D209" s="2" t="s">
        <v>1455</v>
      </c>
      <c r="E209" s="2" t="s">
        <v>1456</v>
      </c>
      <c r="F209" s="2" t="s">
        <v>1457</v>
      </c>
      <c r="G209" s="2" t="s">
        <v>2459</v>
      </c>
      <c r="H209" s="2" t="s">
        <v>1458</v>
      </c>
      <c r="I209" s="2"/>
      <c r="J209" s="2"/>
      <c r="K209" s="2" t="s">
        <v>1312</v>
      </c>
      <c r="L209" s="2"/>
      <c r="M209" s="2"/>
      <c r="N209" s="2"/>
      <c r="O209" s="2"/>
      <c r="P209" s="2"/>
      <c r="Q209" s="2"/>
      <c r="R209" s="2"/>
      <c r="S209" s="2"/>
      <c r="T209" s="2" t="s">
        <v>2083</v>
      </c>
    </row>
    <row r="210" spans="1:20" ht="30" hidden="1" x14ac:dyDescent="0.25">
      <c r="A210" t="e">
        <f>INDEX('Orig (V1_BCK)'!$C:$C,MATCH($B210,'Orig (V1_BCK)'!$C:$C,0),1)</f>
        <v>#N/A</v>
      </c>
      <c r="B210" s="3" t="str">
        <f t="shared" si="3"/>
        <v>J4641378--</v>
      </c>
      <c r="C210" s="2" t="s">
        <v>1443</v>
      </c>
      <c r="D210" s="2" t="s">
        <v>1444</v>
      </c>
      <c r="E210" s="2" t="s">
        <v>45</v>
      </c>
      <c r="F210" s="2" t="s">
        <v>1445</v>
      </c>
      <c r="G210" s="2" t="s">
        <v>2456</v>
      </c>
      <c r="H210" s="2" t="s">
        <v>614</v>
      </c>
      <c r="I210" s="2"/>
      <c r="J210" s="2"/>
      <c r="K210" s="2" t="s">
        <v>1312</v>
      </c>
      <c r="L210" s="2"/>
      <c r="M210" s="2"/>
      <c r="N210" s="2"/>
      <c r="O210" s="2"/>
      <c r="P210" s="2"/>
      <c r="Q210" s="2"/>
      <c r="R210" s="2"/>
      <c r="S210" s="2"/>
      <c r="T210" s="2" t="s">
        <v>2038</v>
      </c>
    </row>
    <row r="211" spans="1:20" ht="30" hidden="1" x14ac:dyDescent="0.25">
      <c r="A211" t="e">
        <f>INDEX('Orig (V1_BCK)'!$C:$C,MATCH($B211,'Orig (V1_BCK)'!$C:$C,0),1)</f>
        <v>#N/A</v>
      </c>
      <c r="B211" s="3" t="str">
        <f t="shared" si="3"/>
        <v>J4683276--</v>
      </c>
      <c r="C211" s="2" t="s">
        <v>1586</v>
      </c>
      <c r="D211" s="2" t="s">
        <v>1587</v>
      </c>
      <c r="E211" s="2" t="s">
        <v>982</v>
      </c>
      <c r="F211" s="2" t="s">
        <v>1588</v>
      </c>
      <c r="G211" s="2" t="s">
        <v>2499</v>
      </c>
      <c r="H211" s="2" t="s">
        <v>1589</v>
      </c>
      <c r="I211" s="2"/>
      <c r="J211" s="2"/>
      <c r="K211" s="2" t="s">
        <v>1312</v>
      </c>
      <c r="L211" s="2"/>
      <c r="M211" s="2"/>
      <c r="N211" s="2"/>
      <c r="O211" s="2"/>
      <c r="P211" s="2"/>
      <c r="Q211" s="2"/>
      <c r="R211" s="2"/>
      <c r="S211" s="2"/>
      <c r="T211" s="2" t="s">
        <v>2080</v>
      </c>
    </row>
    <row r="212" spans="1:20" ht="30" hidden="1" x14ac:dyDescent="0.25">
      <c r="A212" t="e">
        <f>INDEX('Orig (V1_BCK)'!$C:$C,MATCH($B212,'Orig (V1_BCK)'!$C:$C,0),1)</f>
        <v>#N/A</v>
      </c>
      <c r="B212" s="3" t="str">
        <f t="shared" si="3"/>
        <v>J4738274--</v>
      </c>
      <c r="C212" s="2" t="s">
        <v>1651</v>
      </c>
      <c r="D212" s="2" t="s">
        <v>1652</v>
      </c>
      <c r="E212" s="2" t="s">
        <v>11</v>
      </c>
      <c r="F212" s="2" t="s">
        <v>1653</v>
      </c>
      <c r="G212" s="2" t="s">
        <v>2518</v>
      </c>
      <c r="H212" s="2" t="s">
        <v>1654</v>
      </c>
      <c r="I212" s="2"/>
      <c r="J212" s="2"/>
      <c r="K212" s="2" t="s">
        <v>1312</v>
      </c>
      <c r="L212" s="2"/>
      <c r="M212" s="2"/>
      <c r="N212" s="2"/>
      <c r="O212" s="2"/>
      <c r="P212" s="2"/>
      <c r="Q212" s="2"/>
      <c r="R212" s="2"/>
      <c r="S212" s="2"/>
      <c r="T212" s="2" t="s">
        <v>2375</v>
      </c>
    </row>
    <row r="213" spans="1:20" s="15" customFormat="1" ht="30" x14ac:dyDescent="0.25">
      <c r="A213" s="12" t="str">
        <f>INDEX('Orig (V1_BCK)'!$C:$C,MATCH($B213,'Orig (V1_BCK)'!$C:$C,0),1)</f>
        <v>J4844769-ASDV0023-</v>
      </c>
      <c r="B213" s="13" t="str">
        <f t="shared" si="3"/>
        <v>J4844769-ASDV0023-</v>
      </c>
      <c r="C213" s="14" t="s">
        <v>829</v>
      </c>
      <c r="D213" s="14" t="s">
        <v>776</v>
      </c>
      <c r="E213" s="14" t="s">
        <v>830</v>
      </c>
      <c r="F213" s="14" t="s">
        <v>831</v>
      </c>
      <c r="G213" s="14" t="s">
        <v>2231</v>
      </c>
      <c r="H213" s="14" t="s">
        <v>832</v>
      </c>
      <c r="I213" s="14" t="s">
        <v>833</v>
      </c>
      <c r="J213" s="14"/>
      <c r="K213" s="14" t="s">
        <v>2232</v>
      </c>
      <c r="L213" s="14" t="s">
        <v>650</v>
      </c>
      <c r="M213" s="14"/>
      <c r="N213" s="14" t="s">
        <v>651</v>
      </c>
      <c r="O213" s="14"/>
      <c r="P213" s="14"/>
      <c r="Q213" s="14"/>
      <c r="R213" s="14"/>
      <c r="S213" s="14"/>
      <c r="T213" s="14" t="s">
        <v>2038</v>
      </c>
    </row>
    <row r="214" spans="1:20" s="15" customFormat="1" ht="30" x14ac:dyDescent="0.25">
      <c r="A214" s="12" t="str">
        <f>INDEX('Orig (V1_BCK)'!$C:$C,MATCH($B214,'Orig (V1_BCK)'!$C:$C,0),1)</f>
        <v>J4844769-J4844769-</v>
      </c>
      <c r="B214" s="13" t="str">
        <f t="shared" si="3"/>
        <v>J4844769-J4844769-</v>
      </c>
      <c r="C214" s="14" t="s">
        <v>829</v>
      </c>
      <c r="D214" s="14" t="s">
        <v>776</v>
      </c>
      <c r="E214" s="14" t="s">
        <v>830</v>
      </c>
      <c r="F214" s="14" t="s">
        <v>831</v>
      </c>
      <c r="G214" s="14" t="s">
        <v>2231</v>
      </c>
      <c r="H214" s="14" t="s">
        <v>832</v>
      </c>
      <c r="I214" s="14" t="s">
        <v>829</v>
      </c>
      <c r="J214" s="14"/>
      <c r="K214" s="14" t="s">
        <v>2232</v>
      </c>
      <c r="L214" s="14" t="s">
        <v>776</v>
      </c>
      <c r="M214" s="14"/>
      <c r="N214" s="14" t="s">
        <v>830</v>
      </c>
      <c r="O214" s="14"/>
      <c r="P214" s="14" t="s">
        <v>831</v>
      </c>
      <c r="Q214" s="14"/>
      <c r="R214" s="14"/>
      <c r="S214" s="14"/>
      <c r="T214" s="14" t="s">
        <v>2038</v>
      </c>
    </row>
    <row r="215" spans="1:20" s="15" customFormat="1" ht="30" x14ac:dyDescent="0.25">
      <c r="A215" s="12" t="str">
        <f>INDEX('Orig (V1_BCK)'!$C:$C,MATCH($B215,'Orig (V1_BCK)'!$C:$C,0),1)</f>
        <v>J4844769-SGID1234-</v>
      </c>
      <c r="B215" s="13" t="str">
        <f t="shared" si="3"/>
        <v>J4844769-SGID1234-</v>
      </c>
      <c r="C215" s="14" t="s">
        <v>829</v>
      </c>
      <c r="D215" s="14" t="s">
        <v>776</v>
      </c>
      <c r="E215" s="14" t="s">
        <v>830</v>
      </c>
      <c r="F215" s="14" t="s">
        <v>831</v>
      </c>
      <c r="G215" s="14" t="s">
        <v>2231</v>
      </c>
      <c r="H215" s="14" t="s">
        <v>832</v>
      </c>
      <c r="I215" s="14" t="s">
        <v>652</v>
      </c>
      <c r="J215" s="14"/>
      <c r="K215" s="14" t="s">
        <v>2232</v>
      </c>
      <c r="L215" s="14" t="s">
        <v>835</v>
      </c>
      <c r="M215" s="14"/>
      <c r="N215" s="14" t="s">
        <v>836</v>
      </c>
      <c r="O215" s="14"/>
      <c r="P215" s="14"/>
      <c r="Q215" s="14"/>
      <c r="R215" s="14"/>
      <c r="S215" s="14"/>
      <c r="T215" s="14" t="s">
        <v>2038</v>
      </c>
    </row>
    <row r="216" spans="1:20" s="15" customFormat="1" ht="30" x14ac:dyDescent="0.25">
      <c r="A216" s="12" t="str">
        <f>INDEX('Orig (V1_BCK)'!$C:$C,MATCH($B216,'Orig (V1_BCK)'!$C:$C,0),1)</f>
        <v>J4844769-SS012345-</v>
      </c>
      <c r="B216" s="13" t="str">
        <f t="shared" si="3"/>
        <v>J4844769-SS012345-</v>
      </c>
      <c r="C216" s="14" t="s">
        <v>829</v>
      </c>
      <c r="D216" s="14" t="s">
        <v>776</v>
      </c>
      <c r="E216" s="14" t="s">
        <v>830</v>
      </c>
      <c r="F216" s="14" t="s">
        <v>831</v>
      </c>
      <c r="G216" s="14" t="s">
        <v>2231</v>
      </c>
      <c r="H216" s="14" t="s">
        <v>832</v>
      </c>
      <c r="I216" s="14" t="s">
        <v>653</v>
      </c>
      <c r="J216" s="14"/>
      <c r="K216" s="14" t="s">
        <v>2232</v>
      </c>
      <c r="L216" s="14" t="s">
        <v>841</v>
      </c>
      <c r="M216" s="14"/>
      <c r="N216" s="14" t="s">
        <v>842</v>
      </c>
      <c r="O216" s="14"/>
      <c r="P216" s="14" t="s">
        <v>843</v>
      </c>
      <c r="Q216" s="14"/>
      <c r="R216" s="14"/>
      <c r="S216" s="14"/>
      <c r="T216" s="14" t="s">
        <v>2038</v>
      </c>
    </row>
    <row r="217" spans="1:20" s="15" customFormat="1" ht="30" x14ac:dyDescent="0.25">
      <c r="A217" s="12" t="str">
        <f>INDEX('Orig (V1_BCK)'!$C:$C,MATCH($B217,'Orig (V1_BCK)'!$C:$C,0),1)</f>
        <v>J4844769-SS012388-</v>
      </c>
      <c r="B217" s="13" t="str">
        <f t="shared" si="3"/>
        <v>J4844769-SS012388-</v>
      </c>
      <c r="C217" s="14" t="s">
        <v>829</v>
      </c>
      <c r="D217" s="14" t="s">
        <v>776</v>
      </c>
      <c r="E217" s="14" t="s">
        <v>830</v>
      </c>
      <c r="F217" s="14" t="s">
        <v>831</v>
      </c>
      <c r="G217" s="14" t="s">
        <v>2231</v>
      </c>
      <c r="H217" s="14" t="s">
        <v>832</v>
      </c>
      <c r="I217" s="14" t="s">
        <v>837</v>
      </c>
      <c r="J217" s="14"/>
      <c r="K217" s="14" t="s">
        <v>2232</v>
      </c>
      <c r="L217" s="14" t="s">
        <v>838</v>
      </c>
      <c r="M217" s="14"/>
      <c r="N217" s="14" t="s">
        <v>839</v>
      </c>
      <c r="O217" s="14"/>
      <c r="P217" s="14" t="s">
        <v>840</v>
      </c>
      <c r="Q217" s="14"/>
      <c r="R217" s="14"/>
      <c r="S217" s="14"/>
      <c r="T217" s="14" t="s">
        <v>2038</v>
      </c>
    </row>
    <row r="218" spans="1:20" ht="30" hidden="1" x14ac:dyDescent="0.25">
      <c r="A218" t="e">
        <f>INDEX('Orig (V1_BCK)'!$C:$C,MATCH($B218,'Orig (V1_BCK)'!$C:$C,0),1)</f>
        <v>#N/A</v>
      </c>
      <c r="B218" s="3" t="str">
        <f t="shared" si="3"/>
        <v>J4911340--</v>
      </c>
      <c r="C218" s="2" t="s">
        <v>1730</v>
      </c>
      <c r="D218" s="2" t="s">
        <v>173</v>
      </c>
      <c r="E218" s="2" t="s">
        <v>1731</v>
      </c>
      <c r="F218" s="2" t="s">
        <v>1732</v>
      </c>
      <c r="G218" s="2" t="s">
        <v>2542</v>
      </c>
      <c r="H218" s="2" t="s">
        <v>1733</v>
      </c>
      <c r="I218" s="2"/>
      <c r="J218" s="2"/>
      <c r="K218" s="2" t="s">
        <v>1312</v>
      </c>
      <c r="L218" s="2"/>
      <c r="M218" s="2"/>
      <c r="N218" s="2"/>
      <c r="O218" s="2"/>
      <c r="P218" s="2"/>
      <c r="Q218" s="2"/>
      <c r="R218" s="2"/>
      <c r="S218" s="2"/>
      <c r="T218" s="2" t="s">
        <v>2038</v>
      </c>
    </row>
    <row r="219" spans="1:20" ht="30" hidden="1" x14ac:dyDescent="0.25">
      <c r="A219" t="e">
        <f>INDEX('Orig (V1_BCK)'!$C:$C,MATCH($B219,'Orig (V1_BCK)'!$C:$C,0),1)</f>
        <v>#N/A</v>
      </c>
      <c r="B219" s="3" t="str">
        <f t="shared" si="3"/>
        <v>J5198324--</v>
      </c>
      <c r="C219" s="2" t="s">
        <v>1290</v>
      </c>
      <c r="D219" s="2" t="s">
        <v>438</v>
      </c>
      <c r="E219" s="2" t="s">
        <v>74</v>
      </c>
      <c r="F219" s="2" t="s">
        <v>1291</v>
      </c>
      <c r="G219" s="2" t="s">
        <v>2588</v>
      </c>
      <c r="H219" s="2" t="s">
        <v>1890</v>
      </c>
      <c r="I219" s="2"/>
      <c r="J219" s="2"/>
      <c r="K219" s="2" t="s">
        <v>1312</v>
      </c>
      <c r="L219" s="2"/>
      <c r="M219" s="2"/>
      <c r="N219" s="2"/>
      <c r="O219" s="2"/>
      <c r="P219" s="2"/>
      <c r="Q219" s="2"/>
      <c r="R219" s="2"/>
      <c r="S219" s="2"/>
      <c r="T219" s="2" t="s">
        <v>2080</v>
      </c>
    </row>
    <row r="220" spans="1:20" hidden="1" x14ac:dyDescent="0.25">
      <c r="A220" t="str">
        <f>INDEX('Orig (V1_BCK)'!$C:$C,MATCH($B220,'Orig (V1_BCK)'!$C:$C,0),1)</f>
        <v>J5391663-J5391663-</v>
      </c>
      <c r="B220" s="3" t="str">
        <f t="shared" si="3"/>
        <v>J5391663-J5391663-</v>
      </c>
      <c r="C220" s="2" t="s">
        <v>23</v>
      </c>
      <c r="D220" s="2" t="s">
        <v>24</v>
      </c>
      <c r="E220" s="2" t="s">
        <v>25</v>
      </c>
      <c r="F220" s="2" t="s">
        <v>26</v>
      </c>
      <c r="G220" s="2" t="s">
        <v>2043</v>
      </c>
      <c r="H220" s="2" t="s">
        <v>854</v>
      </c>
      <c r="I220" s="2" t="s">
        <v>23</v>
      </c>
      <c r="J220" s="2"/>
      <c r="K220" s="2" t="s">
        <v>2236</v>
      </c>
      <c r="L220" s="2" t="s">
        <v>24</v>
      </c>
      <c r="M220" s="2"/>
      <c r="N220" s="2" t="s">
        <v>25</v>
      </c>
      <c r="O220" s="2"/>
      <c r="P220" s="2" t="s">
        <v>26</v>
      </c>
      <c r="Q220" s="2"/>
      <c r="R220" s="2"/>
      <c r="S220" s="2"/>
      <c r="T220" s="2" t="s">
        <v>2038</v>
      </c>
    </row>
    <row r="221" spans="1:20" ht="30" hidden="1" x14ac:dyDescent="0.25">
      <c r="A221" t="str">
        <f>INDEX('Orig (V1_BCK)'!$C:$C,MATCH($B221,'Orig (V1_BCK)'!$C:$C,0),1)</f>
        <v>J5406220--A2422013</v>
      </c>
      <c r="B221" s="3" t="str">
        <f t="shared" si="3"/>
        <v>J5406220--A2422013</v>
      </c>
      <c r="C221" s="2" t="s">
        <v>489</v>
      </c>
      <c r="D221" s="2" t="s">
        <v>490</v>
      </c>
      <c r="E221" s="2" t="s">
        <v>463</v>
      </c>
      <c r="F221" s="2" t="s">
        <v>20</v>
      </c>
      <c r="G221" s="2" t="s">
        <v>2101</v>
      </c>
      <c r="H221" s="2" t="s">
        <v>614</v>
      </c>
      <c r="I221" s="2"/>
      <c r="J221" s="2" t="s">
        <v>575</v>
      </c>
      <c r="K221" s="2" t="s">
        <v>2138</v>
      </c>
      <c r="L221" s="2"/>
      <c r="M221" s="2" t="s">
        <v>576</v>
      </c>
      <c r="N221" s="2"/>
      <c r="O221" s="2" t="s">
        <v>577</v>
      </c>
      <c r="P221" s="2"/>
      <c r="Q221" s="2" t="s">
        <v>578</v>
      </c>
      <c r="R221" s="2"/>
      <c r="S221" s="2"/>
      <c r="T221" s="2" t="s">
        <v>2083</v>
      </c>
    </row>
    <row r="222" spans="1:20" ht="30" hidden="1" x14ac:dyDescent="0.25">
      <c r="A222" t="e">
        <f>INDEX('Orig (V1_BCK)'!$C:$C,MATCH($B222,'Orig (V1_BCK)'!$C:$C,0),1)</f>
        <v>#N/A</v>
      </c>
      <c r="B222" s="3" t="str">
        <f t="shared" si="3"/>
        <v>J5498073--</v>
      </c>
      <c r="C222" s="2" t="s">
        <v>1028</v>
      </c>
      <c r="D222" s="2" t="s">
        <v>1029</v>
      </c>
      <c r="E222" s="2" t="s">
        <v>1030</v>
      </c>
      <c r="F222" s="2" t="s">
        <v>1031</v>
      </c>
      <c r="G222" s="2" t="s">
        <v>2310</v>
      </c>
      <c r="H222" s="2" t="s">
        <v>505</v>
      </c>
      <c r="I222" s="2"/>
      <c r="J222" s="2"/>
      <c r="K222" s="2" t="s">
        <v>1312</v>
      </c>
      <c r="L222" s="2"/>
      <c r="M222" s="2"/>
      <c r="N222" s="2"/>
      <c r="O222" s="2"/>
      <c r="P222" s="2"/>
      <c r="Q222" s="2"/>
      <c r="R222" s="2"/>
      <c r="S222" s="2"/>
      <c r="T222" s="2" t="s">
        <v>2038</v>
      </c>
    </row>
    <row r="223" spans="1:20" ht="45" hidden="1" x14ac:dyDescent="0.25">
      <c r="A223" t="str">
        <f>INDEX('Orig (V1_BCK)'!$C:$C,MATCH($B223,'Orig (V1_BCK)'!$C:$C,0),1)</f>
        <v>J5549918-J5549918-</v>
      </c>
      <c r="B223" s="3" t="str">
        <f t="shared" si="3"/>
        <v>J5549918-J5549918-</v>
      </c>
      <c r="C223" s="2" t="s">
        <v>446</v>
      </c>
      <c r="D223" s="2" t="s">
        <v>438</v>
      </c>
      <c r="E223" s="2" t="s">
        <v>447</v>
      </c>
      <c r="F223" s="2" t="s">
        <v>448</v>
      </c>
      <c r="G223" s="2" t="s">
        <v>2082</v>
      </c>
      <c r="H223" s="2" t="s">
        <v>501</v>
      </c>
      <c r="I223" s="2" t="s">
        <v>446</v>
      </c>
      <c r="J223" s="2"/>
      <c r="K223" s="2" t="s">
        <v>2106</v>
      </c>
      <c r="L223" s="2" t="s">
        <v>438</v>
      </c>
      <c r="M223" s="2"/>
      <c r="N223" s="2" t="s">
        <v>447</v>
      </c>
      <c r="O223" s="2"/>
      <c r="P223" s="2" t="s">
        <v>448</v>
      </c>
      <c r="Q223" s="2"/>
      <c r="R223" s="2"/>
      <c r="S223" s="2"/>
      <c r="T223" s="2" t="s">
        <v>2083</v>
      </c>
    </row>
    <row r="224" spans="1:20" hidden="1" x14ac:dyDescent="0.25">
      <c r="A224" t="e">
        <f>INDEX('Orig (V1_BCK)'!$C:$C,MATCH($B224,'Orig (V1_BCK)'!$C:$C,0),1)</f>
        <v>#N/A</v>
      </c>
      <c r="B224" s="3" t="str">
        <f t="shared" si="3"/>
        <v>J5631685--</v>
      </c>
      <c r="C224" s="2" t="s">
        <v>1508</v>
      </c>
      <c r="D224" s="2" t="s">
        <v>809</v>
      </c>
      <c r="E224" s="2" t="s">
        <v>1509</v>
      </c>
      <c r="F224" s="2" t="s">
        <v>700</v>
      </c>
      <c r="G224" s="2" t="s">
        <v>2477</v>
      </c>
      <c r="H224" s="2" t="s">
        <v>1510</v>
      </c>
      <c r="I224" s="2"/>
      <c r="J224" s="2"/>
      <c r="K224" s="2" t="s">
        <v>1312</v>
      </c>
      <c r="L224" s="2"/>
      <c r="M224" s="2"/>
      <c r="N224" s="2"/>
      <c r="O224" s="2"/>
      <c r="P224" s="2"/>
      <c r="Q224" s="2"/>
      <c r="R224" s="2"/>
      <c r="S224" s="2"/>
      <c r="T224" s="2" t="s">
        <v>2375</v>
      </c>
    </row>
    <row r="225" spans="1:20" ht="30" hidden="1" x14ac:dyDescent="0.25">
      <c r="A225" t="str">
        <f>INDEX('Orig (V1_BCK)'!$C:$C,MATCH($B225,'Orig (V1_BCK)'!$C:$C,0),1)</f>
        <v>J5768651-J5768651-</v>
      </c>
      <c r="B225" s="3" t="str">
        <f t="shared" si="3"/>
        <v>J5768651-J5768651-</v>
      </c>
      <c r="C225" s="2" t="s">
        <v>660</v>
      </c>
      <c r="D225" s="2" t="s">
        <v>661</v>
      </c>
      <c r="E225" s="2" t="s">
        <v>662</v>
      </c>
      <c r="F225" s="2" t="s">
        <v>663</v>
      </c>
      <c r="G225" s="2" t="s">
        <v>2168</v>
      </c>
      <c r="H225" s="2" t="s">
        <v>664</v>
      </c>
      <c r="I225" s="2" t="s">
        <v>660</v>
      </c>
      <c r="J225" s="2"/>
      <c r="K225" s="2" t="s">
        <v>2169</v>
      </c>
      <c r="L225" s="2" t="s">
        <v>661</v>
      </c>
      <c r="M225" s="2"/>
      <c r="N225" s="2" t="s">
        <v>662</v>
      </c>
      <c r="O225" s="2"/>
      <c r="P225" s="2" t="s">
        <v>663</v>
      </c>
      <c r="Q225" s="2"/>
      <c r="R225" s="2"/>
      <c r="S225" s="2"/>
      <c r="T225" s="2" t="s">
        <v>2080</v>
      </c>
    </row>
    <row r="226" spans="1:20" ht="45" hidden="1" x14ac:dyDescent="0.25">
      <c r="A226" t="e">
        <f>INDEX('Orig (V1_BCK)'!$C:$C,MATCH($B226,'Orig (V1_BCK)'!$C:$C,0),1)</f>
        <v>#N/A</v>
      </c>
      <c r="B226" s="3" t="str">
        <f t="shared" si="3"/>
        <v>J5881704--</v>
      </c>
      <c r="C226" s="2" t="s">
        <v>1768</v>
      </c>
      <c r="D226" s="2" t="s">
        <v>1769</v>
      </c>
      <c r="E226" s="2" t="s">
        <v>1174</v>
      </c>
      <c r="F226" s="2" t="s">
        <v>1770</v>
      </c>
      <c r="G226" s="2" t="s">
        <v>2552</v>
      </c>
      <c r="H226" s="2" t="s">
        <v>1771</v>
      </c>
      <c r="I226" s="2"/>
      <c r="J226" s="2"/>
      <c r="K226" s="2" t="s">
        <v>1312</v>
      </c>
      <c r="L226" s="2"/>
      <c r="M226" s="2"/>
      <c r="N226" s="2"/>
      <c r="O226" s="2"/>
      <c r="P226" s="2"/>
      <c r="Q226" s="2"/>
      <c r="R226" s="2"/>
      <c r="S226" s="2"/>
      <c r="T226" s="2" t="s">
        <v>2041</v>
      </c>
    </row>
    <row r="227" spans="1:20" hidden="1" x14ac:dyDescent="0.25">
      <c r="A227" t="e">
        <f>INDEX('Orig (V1_BCK)'!$C:$C,MATCH($B227,'Orig (V1_BCK)'!$C:$C,0),1)</f>
        <v>#N/A</v>
      </c>
      <c r="B227" s="3" t="str">
        <f t="shared" si="3"/>
        <v>J5892960--</v>
      </c>
      <c r="C227" s="2" t="s">
        <v>2027</v>
      </c>
      <c r="D227" s="2" t="s">
        <v>2028</v>
      </c>
      <c r="E227" s="2" t="s">
        <v>2029</v>
      </c>
      <c r="F227" s="2" t="s">
        <v>2029</v>
      </c>
      <c r="G227" s="2" t="s">
        <v>2632</v>
      </c>
      <c r="H227" s="2" t="s">
        <v>1375</v>
      </c>
      <c r="I227" s="2"/>
      <c r="J227" s="2"/>
      <c r="K227" s="2" t="s">
        <v>1312</v>
      </c>
      <c r="L227" s="2"/>
      <c r="M227" s="2"/>
      <c r="N227" s="2"/>
      <c r="O227" s="2"/>
      <c r="P227" s="2"/>
      <c r="Q227" s="2"/>
      <c r="R227" s="2"/>
      <c r="S227" s="2"/>
      <c r="T227" s="2" t="s">
        <v>2375</v>
      </c>
    </row>
    <row r="228" spans="1:20" ht="30" hidden="1" x14ac:dyDescent="0.25">
      <c r="A228" t="str">
        <f>INDEX('Orig (V1_BCK)'!$C:$C,MATCH($B228,'Orig (V1_BCK)'!$C:$C,0),1)</f>
        <v>J5981626--J9341213</v>
      </c>
      <c r="B228" s="3" t="str">
        <f t="shared" si="3"/>
        <v>J5981626--J9341213</v>
      </c>
      <c r="C228" s="2" t="s">
        <v>989</v>
      </c>
      <c r="D228" s="2" t="s">
        <v>147</v>
      </c>
      <c r="E228" s="2" t="s">
        <v>21</v>
      </c>
      <c r="F228" s="2" t="s">
        <v>990</v>
      </c>
      <c r="G228" s="2" t="s">
        <v>2291</v>
      </c>
      <c r="H228" s="2" t="s">
        <v>991</v>
      </c>
      <c r="I228" s="2"/>
      <c r="J228" s="2" t="s">
        <v>826</v>
      </c>
      <c r="K228" s="2" t="s">
        <v>2230</v>
      </c>
      <c r="L228" s="2"/>
      <c r="M228" s="2" t="s">
        <v>24</v>
      </c>
      <c r="N228" s="2"/>
      <c r="O228" s="2" t="s">
        <v>740</v>
      </c>
      <c r="P228" s="2"/>
      <c r="Q228" s="2" t="s">
        <v>827</v>
      </c>
      <c r="R228" s="2"/>
      <c r="S228" s="2"/>
      <c r="T228" s="2" t="s">
        <v>2046</v>
      </c>
    </row>
    <row r="229" spans="1:20" hidden="1" x14ac:dyDescent="0.25">
      <c r="A229" t="str">
        <f>INDEX('Orig (V1_BCK)'!$C:$C,MATCH($B229,'Orig (V1_BCK)'!$C:$C,0),1)</f>
        <v>J6007668--M4581480</v>
      </c>
      <c r="B229" s="3" t="str">
        <f t="shared" si="3"/>
        <v>J6007668--M4581480</v>
      </c>
      <c r="C229" s="2" t="s">
        <v>534</v>
      </c>
      <c r="D229" s="2" t="s">
        <v>24</v>
      </c>
      <c r="E229" s="2" t="s">
        <v>535</v>
      </c>
      <c r="F229" s="2" t="s">
        <v>536</v>
      </c>
      <c r="G229" s="2" t="s">
        <v>2119</v>
      </c>
      <c r="H229" s="2" t="s">
        <v>537</v>
      </c>
      <c r="I229" s="2"/>
      <c r="J229" s="2" t="s">
        <v>538</v>
      </c>
      <c r="K229" s="2" t="s">
        <v>2120</v>
      </c>
      <c r="L229" s="2"/>
      <c r="M229" s="2" t="s">
        <v>92</v>
      </c>
      <c r="N229" s="2"/>
      <c r="O229" s="2" t="s">
        <v>539</v>
      </c>
      <c r="P229" s="2"/>
      <c r="Q229" s="2" t="s">
        <v>468</v>
      </c>
      <c r="R229" s="2"/>
      <c r="S229" s="2"/>
      <c r="T229" s="2" t="s">
        <v>2071</v>
      </c>
    </row>
    <row r="230" spans="1:20" ht="30" hidden="1" x14ac:dyDescent="0.25">
      <c r="A230" t="str">
        <f>INDEX('Orig (V1_BCK)'!$C:$C,MATCH($B230,'Orig (V1_BCK)'!$C:$C,0),1)</f>
        <v>J6019249-J6019249-</v>
      </c>
      <c r="B230" s="3" t="str">
        <f t="shared" si="3"/>
        <v>J6019249-J6019249-</v>
      </c>
      <c r="C230" s="2" t="s">
        <v>1147</v>
      </c>
      <c r="D230" s="2" t="s">
        <v>1148</v>
      </c>
      <c r="E230" s="2" t="s">
        <v>493</v>
      </c>
      <c r="F230" s="2" t="s">
        <v>1149</v>
      </c>
      <c r="G230" s="2" t="s">
        <v>2368</v>
      </c>
      <c r="H230" s="2" t="s">
        <v>1150</v>
      </c>
      <c r="I230" s="2" t="s">
        <v>1147</v>
      </c>
      <c r="J230" s="2"/>
      <c r="K230" s="2" t="s">
        <v>2369</v>
      </c>
      <c r="L230" s="2" t="s">
        <v>1148</v>
      </c>
      <c r="M230" s="2"/>
      <c r="N230" s="2" t="s">
        <v>493</v>
      </c>
      <c r="O230" s="2"/>
      <c r="P230" s="2" t="s">
        <v>1149</v>
      </c>
      <c r="Q230" s="2"/>
      <c r="R230" s="2"/>
      <c r="S230" s="2"/>
      <c r="T230" s="2" t="s">
        <v>2038</v>
      </c>
    </row>
    <row r="231" spans="1:20" s="7" customFormat="1" hidden="1" x14ac:dyDescent="0.25">
      <c r="A231" s="4" t="e">
        <f>INDEX('Orig (V1_BCK)'!$C:$C,MATCH($B231,'Orig (V1_BCK)'!$C:$C,0),1)</f>
        <v>#N/A</v>
      </c>
      <c r="B231" s="5" t="str">
        <f t="shared" si="3"/>
        <v>J6139155--</v>
      </c>
      <c r="C231" s="6" t="s">
        <v>32</v>
      </c>
      <c r="D231" s="6" t="s">
        <v>33</v>
      </c>
      <c r="E231" s="6" t="s">
        <v>34</v>
      </c>
      <c r="F231" s="6" t="s">
        <v>35</v>
      </c>
      <c r="G231" s="6" t="s">
        <v>2047</v>
      </c>
      <c r="H231" s="6" t="s">
        <v>36</v>
      </c>
      <c r="I231" s="6"/>
      <c r="J231" s="6"/>
      <c r="K231" s="6" t="s">
        <v>2048</v>
      </c>
      <c r="L231" s="6"/>
      <c r="M231" s="6"/>
      <c r="N231" s="6"/>
      <c r="O231" s="6"/>
      <c r="P231" s="6"/>
      <c r="Q231" s="6"/>
      <c r="R231" s="6"/>
      <c r="S231" s="6"/>
      <c r="T231" s="6" t="s">
        <v>2038</v>
      </c>
    </row>
    <row r="232" spans="1:20" ht="30" hidden="1" x14ac:dyDescent="0.25">
      <c r="A232" t="str">
        <f>INDEX('Orig (V1_BCK)'!$C:$C,MATCH($B232,'Orig (V1_BCK)'!$C:$C,0),1)</f>
        <v>J6185390--J5549918</v>
      </c>
      <c r="B232" s="3" t="str">
        <f t="shared" si="3"/>
        <v>J6185390--J5549918</v>
      </c>
      <c r="C232" s="2" t="s">
        <v>768</v>
      </c>
      <c r="D232" s="2" t="s">
        <v>147</v>
      </c>
      <c r="E232" s="2" t="s">
        <v>769</v>
      </c>
      <c r="F232" s="2" t="s">
        <v>770</v>
      </c>
      <c r="G232" s="2" t="s">
        <v>2211</v>
      </c>
      <c r="H232" s="2" t="s">
        <v>771</v>
      </c>
      <c r="I232" s="2"/>
      <c r="J232" s="2" t="s">
        <v>446</v>
      </c>
      <c r="K232" s="2" t="s">
        <v>2082</v>
      </c>
      <c r="L232" s="2"/>
      <c r="M232" s="2" t="s">
        <v>438</v>
      </c>
      <c r="N232" s="2"/>
      <c r="O232" s="2" t="s">
        <v>447</v>
      </c>
      <c r="P232" s="2"/>
      <c r="Q232" s="2" t="s">
        <v>448</v>
      </c>
      <c r="R232" s="2"/>
      <c r="S232" s="2"/>
      <c r="T232" s="2" t="s">
        <v>2083</v>
      </c>
    </row>
    <row r="233" spans="1:20" hidden="1" x14ac:dyDescent="0.25">
      <c r="A233" t="str">
        <f>INDEX('Orig (V1_BCK)'!$C:$C,MATCH($B233,'Orig (V1_BCK)'!$C:$C,0),1)</f>
        <v>J6399199-J6399199-</v>
      </c>
      <c r="B233" s="3" t="str">
        <f t="shared" si="3"/>
        <v>J6399199-J6399199-</v>
      </c>
      <c r="C233" s="2" t="s">
        <v>775</v>
      </c>
      <c r="D233" s="2" t="s">
        <v>776</v>
      </c>
      <c r="E233" s="2" t="s">
        <v>777</v>
      </c>
      <c r="F233" s="2" t="s">
        <v>778</v>
      </c>
      <c r="G233" s="2" t="s">
        <v>2213</v>
      </c>
      <c r="H233" s="2" t="s">
        <v>779</v>
      </c>
      <c r="I233" s="2" t="s">
        <v>775</v>
      </c>
      <c r="J233" s="2"/>
      <c r="K233" s="2" t="s">
        <v>2214</v>
      </c>
      <c r="L233" s="2" t="s">
        <v>776</v>
      </c>
      <c r="M233" s="2"/>
      <c r="N233" s="2" t="s">
        <v>777</v>
      </c>
      <c r="O233" s="2"/>
      <c r="P233" s="2" t="s">
        <v>778</v>
      </c>
      <c r="Q233" s="2"/>
      <c r="R233" s="2"/>
      <c r="S233" s="2"/>
      <c r="T233" s="2" t="s">
        <v>2083</v>
      </c>
    </row>
    <row r="234" spans="1:20" hidden="1" x14ac:dyDescent="0.25">
      <c r="A234" t="e">
        <f>INDEX('Orig (V1_BCK)'!$C:$C,MATCH($B234,'Orig (V1_BCK)'!$C:$C,0),1)</f>
        <v>#N/A</v>
      </c>
      <c r="B234" s="3" t="str">
        <f t="shared" si="3"/>
        <v>J6602973--</v>
      </c>
      <c r="C234" s="2" t="s">
        <v>1379</v>
      </c>
      <c r="D234" s="2" t="s">
        <v>1380</v>
      </c>
      <c r="E234" s="2" t="s">
        <v>700</v>
      </c>
      <c r="F234" s="2" t="s">
        <v>1381</v>
      </c>
      <c r="G234" s="2" t="s">
        <v>2434</v>
      </c>
      <c r="H234" s="2" t="s">
        <v>2434</v>
      </c>
      <c r="I234" s="2"/>
      <c r="J234" s="2"/>
      <c r="K234" s="2" t="s">
        <v>1312</v>
      </c>
      <c r="L234" s="2"/>
      <c r="M234" s="2"/>
      <c r="N234" s="2"/>
      <c r="O234" s="2"/>
      <c r="P234" s="2"/>
      <c r="Q234" s="2"/>
      <c r="R234" s="2"/>
      <c r="S234" s="2"/>
      <c r="T234" s="2" t="s">
        <v>2426</v>
      </c>
    </row>
    <row r="235" spans="1:20" hidden="1" x14ac:dyDescent="0.25">
      <c r="A235" t="e">
        <f>INDEX('Orig (V1_BCK)'!$C:$C,MATCH($B235,'Orig (V1_BCK)'!$C:$C,0),1)</f>
        <v>#N/A</v>
      </c>
      <c r="B235" s="3" t="str">
        <f t="shared" si="3"/>
        <v>J6658326--</v>
      </c>
      <c r="C235" s="2" t="s">
        <v>1689</v>
      </c>
      <c r="D235" s="2" t="s">
        <v>24</v>
      </c>
      <c r="E235" s="2" t="s">
        <v>1690</v>
      </c>
      <c r="F235" s="2" t="s">
        <v>1431</v>
      </c>
      <c r="G235" s="2" t="s">
        <v>2529</v>
      </c>
      <c r="H235" s="2" t="s">
        <v>779</v>
      </c>
      <c r="I235" s="2"/>
      <c r="J235" s="2"/>
      <c r="K235" s="2" t="s">
        <v>1312</v>
      </c>
      <c r="L235" s="2"/>
      <c r="M235" s="2"/>
      <c r="N235" s="2"/>
      <c r="O235" s="2"/>
      <c r="P235" s="2"/>
      <c r="Q235" s="2"/>
      <c r="R235" s="2"/>
      <c r="S235" s="2"/>
      <c r="T235" s="2" t="s">
        <v>2038</v>
      </c>
    </row>
    <row r="236" spans="1:20" ht="30" hidden="1" x14ac:dyDescent="0.25">
      <c r="A236" t="e">
        <f>INDEX('Orig (V1_BCK)'!$C:$C,MATCH($B236,'Orig (V1_BCK)'!$C:$C,0),1)</f>
        <v>#N/A</v>
      </c>
      <c r="B236" s="3" t="str">
        <f t="shared" si="3"/>
        <v>J6718000--</v>
      </c>
      <c r="C236" s="2" t="s">
        <v>1696</v>
      </c>
      <c r="D236" s="2" t="s">
        <v>699</v>
      </c>
      <c r="E236" s="2" t="s">
        <v>1697</v>
      </c>
      <c r="F236" s="2" t="s">
        <v>1698</v>
      </c>
      <c r="G236" s="2" t="s">
        <v>2531</v>
      </c>
      <c r="H236" s="2" t="s">
        <v>1699</v>
      </c>
      <c r="I236" s="2"/>
      <c r="J236" s="2"/>
      <c r="K236" s="2" t="s">
        <v>1312</v>
      </c>
      <c r="L236" s="2"/>
      <c r="M236" s="2"/>
      <c r="N236" s="2"/>
      <c r="O236" s="2"/>
      <c r="P236" s="2"/>
      <c r="Q236" s="2"/>
      <c r="R236" s="2"/>
      <c r="S236" s="2"/>
      <c r="T236" s="2" t="s">
        <v>2038</v>
      </c>
    </row>
    <row r="237" spans="1:20" ht="30" hidden="1" x14ac:dyDescent="0.25">
      <c r="A237" t="str">
        <f>INDEX('Orig (V1_BCK)'!$C:$C,MATCH($B237,'Orig (V1_BCK)'!$C:$C,0),1)</f>
        <v>J6853473--J5391663</v>
      </c>
      <c r="B237" s="3" t="str">
        <f t="shared" si="3"/>
        <v>J6853473--J5391663</v>
      </c>
      <c r="C237" s="2" t="s">
        <v>962</v>
      </c>
      <c r="D237" s="2" t="s">
        <v>661</v>
      </c>
      <c r="E237" s="2" t="s">
        <v>963</v>
      </c>
      <c r="F237" s="2" t="s">
        <v>964</v>
      </c>
      <c r="G237" s="2" t="s">
        <v>2279</v>
      </c>
      <c r="H237" s="2" t="s">
        <v>965</v>
      </c>
      <c r="I237" s="2"/>
      <c r="J237" s="2" t="s">
        <v>23</v>
      </c>
      <c r="K237" s="2" t="s">
        <v>2043</v>
      </c>
      <c r="L237" s="2"/>
      <c r="M237" s="2" t="s">
        <v>24</v>
      </c>
      <c r="N237" s="2"/>
      <c r="O237" s="2" t="s">
        <v>25</v>
      </c>
      <c r="P237" s="2"/>
      <c r="Q237" s="2" t="s">
        <v>26</v>
      </c>
      <c r="R237" s="2"/>
      <c r="S237" s="2"/>
      <c r="T237" s="2" t="s">
        <v>2038</v>
      </c>
    </row>
    <row r="238" spans="1:20" ht="30" hidden="1" x14ac:dyDescent="0.25">
      <c r="A238" t="str">
        <f>INDEX('Orig (V1_BCK)'!$C:$C,MATCH($B238,'Orig (V1_BCK)'!$C:$C,0),1)</f>
        <v>J6902405--M4581480</v>
      </c>
      <c r="B238" s="3" t="str">
        <f t="shared" si="3"/>
        <v>J6902405--M4581480</v>
      </c>
      <c r="C238" s="2" t="s">
        <v>1068</v>
      </c>
      <c r="D238" s="2" t="s">
        <v>1069</v>
      </c>
      <c r="E238" s="2" t="s">
        <v>11</v>
      </c>
      <c r="F238" s="2" t="s">
        <v>691</v>
      </c>
      <c r="G238" s="2" t="s">
        <v>2333</v>
      </c>
      <c r="H238" s="2" t="s">
        <v>2333</v>
      </c>
      <c r="I238" s="2"/>
      <c r="J238" s="2" t="s">
        <v>538</v>
      </c>
      <c r="K238" s="2" t="s">
        <v>2120</v>
      </c>
      <c r="L238" s="2"/>
      <c r="M238" s="2" t="s">
        <v>92</v>
      </c>
      <c r="N238" s="2"/>
      <c r="O238" s="2" t="s">
        <v>539</v>
      </c>
      <c r="P238" s="2"/>
      <c r="Q238" s="2" t="s">
        <v>468</v>
      </c>
      <c r="R238" s="2"/>
      <c r="S238" s="2"/>
      <c r="T238" s="2" t="s">
        <v>2071</v>
      </c>
    </row>
    <row r="239" spans="1:20" hidden="1" x14ac:dyDescent="0.25">
      <c r="A239" t="str">
        <f>INDEX('Orig (V1_BCK)'!$C:$C,MATCH($B239,'Orig (V1_BCK)'!$C:$C,0),1)</f>
        <v>J6982916--F6446981</v>
      </c>
      <c r="B239" s="3" t="str">
        <f t="shared" si="3"/>
        <v>J6982916--F6446981</v>
      </c>
      <c r="C239" s="2" t="s">
        <v>657</v>
      </c>
      <c r="D239" s="2" t="s">
        <v>173</v>
      </c>
      <c r="E239" s="2" t="s">
        <v>658</v>
      </c>
      <c r="F239" s="2" t="s">
        <v>659</v>
      </c>
      <c r="G239" s="2" t="s">
        <v>2167</v>
      </c>
      <c r="H239" s="2" t="s">
        <v>2167</v>
      </c>
      <c r="I239" s="2"/>
      <c r="J239" s="2" t="s">
        <v>636</v>
      </c>
      <c r="K239" s="2" t="s">
        <v>2162</v>
      </c>
      <c r="L239" s="2"/>
      <c r="M239" s="2" t="s">
        <v>637</v>
      </c>
      <c r="N239" s="2"/>
      <c r="O239" s="2" t="s">
        <v>496</v>
      </c>
      <c r="P239" s="2"/>
      <c r="Q239" s="2" t="s">
        <v>638</v>
      </c>
      <c r="R239" s="2"/>
      <c r="S239" s="2"/>
      <c r="T239" s="2" t="s">
        <v>2083</v>
      </c>
    </row>
    <row r="240" spans="1:20" hidden="1" x14ac:dyDescent="0.25">
      <c r="A240" t="str">
        <f>INDEX('Orig (V1_BCK)'!$C:$C,MATCH($B240,'Orig (V1_BCK)'!$C:$C,0),1)</f>
        <v>J7046856-J7046856-</v>
      </c>
      <c r="B240" s="3" t="str">
        <f t="shared" si="3"/>
        <v>J7046856-J7046856-</v>
      </c>
      <c r="C240" s="2" t="s">
        <v>1010</v>
      </c>
      <c r="D240" s="2" t="s">
        <v>127</v>
      </c>
      <c r="E240" s="2" t="s">
        <v>557</v>
      </c>
      <c r="F240" s="2" t="s">
        <v>493</v>
      </c>
      <c r="G240" s="2" t="s">
        <v>2301</v>
      </c>
      <c r="H240" s="2" t="s">
        <v>1011</v>
      </c>
      <c r="I240" s="2" t="s">
        <v>1010</v>
      </c>
      <c r="J240" s="2"/>
      <c r="K240" s="2" t="s">
        <v>2302</v>
      </c>
      <c r="L240" s="2" t="s">
        <v>127</v>
      </c>
      <c r="M240" s="2"/>
      <c r="N240" s="2" t="s">
        <v>557</v>
      </c>
      <c r="O240" s="2"/>
      <c r="P240" s="2" t="s">
        <v>493</v>
      </c>
      <c r="Q240" s="2"/>
      <c r="R240" s="2"/>
      <c r="S240" s="2"/>
      <c r="T240" s="2" t="s">
        <v>2038</v>
      </c>
    </row>
    <row r="241" spans="1:20" ht="30" hidden="1" x14ac:dyDescent="0.25">
      <c r="A241" t="str">
        <f>INDEX('Orig (V1_BCK)'!$C:$C,MATCH($B241,'Orig (V1_BCK)'!$C:$C,0),1)</f>
        <v>J7053949-J7053949-</v>
      </c>
      <c r="B241" s="3" t="str">
        <f t="shared" si="3"/>
        <v>J7053949-J7053949-</v>
      </c>
      <c r="C241" s="2" t="s">
        <v>551</v>
      </c>
      <c r="D241" s="2" t="s">
        <v>552</v>
      </c>
      <c r="E241" s="2" t="s">
        <v>553</v>
      </c>
      <c r="F241" s="2" t="s">
        <v>105</v>
      </c>
      <c r="G241" s="2" t="s">
        <v>2127</v>
      </c>
      <c r="H241" s="2" t="s">
        <v>554</v>
      </c>
      <c r="I241" s="2" t="s">
        <v>551</v>
      </c>
      <c r="J241" s="2"/>
      <c r="K241" s="2" t="s">
        <v>2128</v>
      </c>
      <c r="L241" s="2" t="s">
        <v>552</v>
      </c>
      <c r="M241" s="2"/>
      <c r="N241" s="2" t="s">
        <v>553</v>
      </c>
      <c r="O241" s="2"/>
      <c r="P241" s="2" t="s">
        <v>105</v>
      </c>
      <c r="Q241" s="2"/>
      <c r="R241" s="2"/>
      <c r="S241" s="2"/>
      <c r="T241" s="2" t="s">
        <v>2071</v>
      </c>
    </row>
    <row r="242" spans="1:20" ht="30" hidden="1" x14ac:dyDescent="0.25">
      <c r="A242" t="e">
        <f>INDEX('Orig (V1_BCK)'!$C:$C,MATCH($B242,'Orig (V1_BCK)'!$C:$C,0),1)</f>
        <v>#N/A</v>
      </c>
      <c r="B242" s="3" t="str">
        <f t="shared" si="3"/>
        <v>J7090073--</v>
      </c>
      <c r="C242" s="2" t="s">
        <v>1842</v>
      </c>
      <c r="D242" s="2" t="s">
        <v>127</v>
      </c>
      <c r="E242" s="2" t="s">
        <v>1568</v>
      </c>
      <c r="F242" s="2" t="s">
        <v>700</v>
      </c>
      <c r="G242" s="2" t="s">
        <v>2575</v>
      </c>
      <c r="H242" s="2" t="s">
        <v>1843</v>
      </c>
      <c r="I242" s="2"/>
      <c r="J242" s="2"/>
      <c r="K242" s="2" t="s">
        <v>1312</v>
      </c>
      <c r="L242" s="2"/>
      <c r="M242" s="2"/>
      <c r="N242" s="2"/>
      <c r="O242" s="2"/>
      <c r="P242" s="2"/>
      <c r="Q242" s="2"/>
      <c r="R242" s="2"/>
      <c r="S242" s="2"/>
      <c r="T242" s="2" t="s">
        <v>2041</v>
      </c>
    </row>
    <row r="243" spans="1:20" ht="30" hidden="1" x14ac:dyDescent="0.25">
      <c r="A243" t="e">
        <f>INDEX('Orig (V1_BCK)'!$C:$C,MATCH($B243,'Orig (V1_BCK)'!$C:$C,0),1)</f>
        <v>#N/A</v>
      </c>
      <c r="B243" s="3" t="str">
        <f t="shared" si="3"/>
        <v>J7231919--</v>
      </c>
      <c r="C243" s="2" t="s">
        <v>682</v>
      </c>
      <c r="D243" s="2" t="s">
        <v>438</v>
      </c>
      <c r="E243" s="2" t="s">
        <v>683</v>
      </c>
      <c r="F243" s="2" t="s">
        <v>684</v>
      </c>
      <c r="G243" s="2" t="s">
        <v>2177</v>
      </c>
      <c r="H243" s="2" t="s">
        <v>1534</v>
      </c>
      <c r="I243" s="2"/>
      <c r="J243" s="2"/>
      <c r="K243" s="2" t="s">
        <v>1312</v>
      </c>
      <c r="L243" s="2"/>
      <c r="M243" s="2"/>
      <c r="N243" s="2"/>
      <c r="O243" s="2"/>
      <c r="P243" s="2"/>
      <c r="Q243" s="2"/>
      <c r="R243" s="2"/>
      <c r="S243" s="2"/>
      <c r="T243" s="2" t="s">
        <v>2046</v>
      </c>
    </row>
    <row r="244" spans="1:20" hidden="1" x14ac:dyDescent="0.25">
      <c r="A244" t="e">
        <f>INDEX('Orig (V1_BCK)'!$C:$C,MATCH($B244,'Orig (V1_BCK)'!$C:$C,0),1)</f>
        <v>#N/A</v>
      </c>
      <c r="B244" s="3" t="str">
        <f t="shared" si="3"/>
        <v>J7377775--</v>
      </c>
      <c r="C244" s="2" t="s">
        <v>1728</v>
      </c>
      <c r="D244" s="2" t="s">
        <v>1320</v>
      </c>
      <c r="E244" s="2" t="s">
        <v>29</v>
      </c>
      <c r="F244" s="2" t="s">
        <v>74</v>
      </c>
      <c r="G244" s="2" t="s">
        <v>2541</v>
      </c>
      <c r="H244" s="2" t="s">
        <v>1729</v>
      </c>
      <c r="I244" s="2"/>
      <c r="J244" s="2"/>
      <c r="K244" s="2" t="s">
        <v>1312</v>
      </c>
      <c r="L244" s="2"/>
      <c r="M244" s="2"/>
      <c r="N244" s="2"/>
      <c r="O244" s="2"/>
      <c r="P244" s="2"/>
      <c r="Q244" s="2"/>
      <c r="R244" s="2"/>
      <c r="S244" s="2"/>
      <c r="T244" s="2" t="s">
        <v>2375</v>
      </c>
    </row>
    <row r="245" spans="1:20" ht="30" hidden="1" x14ac:dyDescent="0.25">
      <c r="A245" t="e">
        <f>INDEX('Orig (V1_BCK)'!$C:$C,MATCH($B245,'Orig (V1_BCK)'!$C:$C,0),1)</f>
        <v>#N/A</v>
      </c>
      <c r="B245" s="3" t="str">
        <f t="shared" si="3"/>
        <v>J7425713--</v>
      </c>
      <c r="C245" s="2" t="s">
        <v>1514</v>
      </c>
      <c r="D245" s="2" t="s">
        <v>1069</v>
      </c>
      <c r="E245" s="2" t="s">
        <v>1515</v>
      </c>
      <c r="F245" s="2" t="s">
        <v>1516</v>
      </c>
      <c r="G245" s="2" t="s">
        <v>2479</v>
      </c>
      <c r="H245" s="2" t="s">
        <v>1517</v>
      </c>
      <c r="I245" s="2"/>
      <c r="J245" s="2"/>
      <c r="K245" s="2" t="s">
        <v>1312</v>
      </c>
      <c r="L245" s="2"/>
      <c r="M245" s="2"/>
      <c r="N245" s="2"/>
      <c r="O245" s="2"/>
      <c r="P245" s="2"/>
      <c r="Q245" s="2"/>
      <c r="R245" s="2"/>
      <c r="S245" s="2"/>
      <c r="T245" s="2" t="s">
        <v>2080</v>
      </c>
    </row>
    <row r="246" spans="1:20" hidden="1" x14ac:dyDescent="0.25">
      <c r="A246" t="str">
        <f>INDEX('Orig (V1_BCK)'!$C:$C,MATCH($B246,'Orig (V1_BCK)'!$C:$C,0),1)</f>
        <v>J7436091--J5406220</v>
      </c>
      <c r="B246" s="3" t="str">
        <f t="shared" si="3"/>
        <v>J7436091--J5406220</v>
      </c>
      <c r="C246" s="2" t="s">
        <v>486</v>
      </c>
      <c r="D246" s="2" t="s">
        <v>173</v>
      </c>
      <c r="E246" s="2" t="s">
        <v>487</v>
      </c>
      <c r="F246" s="2" t="s">
        <v>29</v>
      </c>
      <c r="G246" s="2" t="s">
        <v>2100</v>
      </c>
      <c r="H246" s="2" t="s">
        <v>488</v>
      </c>
      <c r="I246" s="2"/>
      <c r="J246" s="2" t="s">
        <v>489</v>
      </c>
      <c r="K246" s="2" t="s">
        <v>2101</v>
      </c>
      <c r="L246" s="2"/>
      <c r="M246" s="2" t="s">
        <v>490</v>
      </c>
      <c r="N246" s="2"/>
      <c r="O246" s="2" t="s">
        <v>463</v>
      </c>
      <c r="P246" s="2"/>
      <c r="Q246" s="2" t="s">
        <v>20</v>
      </c>
      <c r="R246" s="2"/>
      <c r="S246" s="2"/>
      <c r="T246" s="2" t="s">
        <v>2083</v>
      </c>
    </row>
    <row r="247" spans="1:20" ht="30" hidden="1" x14ac:dyDescent="0.25">
      <c r="A247" t="e">
        <f>INDEX('Orig (V1_BCK)'!$C:$C,MATCH($B247,'Orig (V1_BCK)'!$C:$C,0),1)</f>
        <v>#N/A</v>
      </c>
      <c r="B247" s="3" t="str">
        <f t="shared" si="3"/>
        <v>J7446134--</v>
      </c>
      <c r="C247" s="2" t="s">
        <v>812</v>
      </c>
      <c r="D247" s="2" t="s">
        <v>661</v>
      </c>
      <c r="E247" s="2" t="s">
        <v>813</v>
      </c>
      <c r="F247" s="2" t="s">
        <v>11</v>
      </c>
      <c r="G247" s="2" t="s">
        <v>2225</v>
      </c>
      <c r="H247" s="2" t="s">
        <v>1382</v>
      </c>
      <c r="I247" s="2"/>
      <c r="J247" s="2"/>
      <c r="K247" s="2" t="s">
        <v>1312</v>
      </c>
      <c r="L247" s="2"/>
      <c r="M247" s="2"/>
      <c r="N247" s="2"/>
      <c r="O247" s="2"/>
      <c r="P247" s="2"/>
      <c r="Q247" s="2"/>
      <c r="R247" s="2"/>
      <c r="S247" s="2"/>
      <c r="T247" s="2" t="s">
        <v>2046</v>
      </c>
    </row>
    <row r="248" spans="1:20" ht="30" hidden="1" x14ac:dyDescent="0.25">
      <c r="A248" t="str">
        <f>INDEX('Orig (V1_BCK)'!$C:$C,MATCH($B248,'Orig (V1_BCK)'!$C:$C,0),1)</f>
        <v>J7470928-J7470928-</v>
      </c>
      <c r="B248" s="3" t="str">
        <f t="shared" si="3"/>
        <v>J7470928-J7470928-</v>
      </c>
      <c r="C248" s="2" t="s">
        <v>1116</v>
      </c>
      <c r="D248" s="2" t="s">
        <v>1117</v>
      </c>
      <c r="E248" s="2" t="s">
        <v>1118</v>
      </c>
      <c r="F248" s="2" t="s">
        <v>1119</v>
      </c>
      <c r="G248" s="2" t="s">
        <v>2353</v>
      </c>
      <c r="H248" s="2" t="s">
        <v>1120</v>
      </c>
      <c r="I248" s="2" t="s">
        <v>1116</v>
      </c>
      <c r="J248" s="2"/>
      <c r="K248" s="2" t="s">
        <v>2354</v>
      </c>
      <c r="L248" s="2" t="s">
        <v>1117</v>
      </c>
      <c r="M248" s="2"/>
      <c r="N248" s="2" t="s">
        <v>1118</v>
      </c>
      <c r="O248" s="2"/>
      <c r="P248" s="2" t="s">
        <v>1119</v>
      </c>
      <c r="Q248" s="2"/>
      <c r="R248" s="2"/>
      <c r="S248" s="2"/>
      <c r="T248" s="2" t="s">
        <v>2038</v>
      </c>
    </row>
    <row r="249" spans="1:20" hidden="1" x14ac:dyDescent="0.25">
      <c r="A249" t="str">
        <f>INDEX('Orig (V1_BCK)'!$C:$C,MATCH($B249,'Orig (V1_BCK)'!$C:$C,0),1)</f>
        <v>J7707905-J7707905-</v>
      </c>
      <c r="B249" s="3" t="str">
        <f t="shared" si="3"/>
        <v>J7707905-J7707905-</v>
      </c>
      <c r="C249" s="2" t="s">
        <v>1032</v>
      </c>
      <c r="D249" s="2" t="s">
        <v>438</v>
      </c>
      <c r="E249" s="2" t="s">
        <v>29</v>
      </c>
      <c r="F249" s="2" t="s">
        <v>1033</v>
      </c>
      <c r="G249" s="2" t="s">
        <v>2311</v>
      </c>
      <c r="H249" s="2" t="s">
        <v>1034</v>
      </c>
      <c r="I249" s="2" t="s">
        <v>1032</v>
      </c>
      <c r="J249" s="2"/>
      <c r="K249" s="2" t="s">
        <v>2312</v>
      </c>
      <c r="L249" s="2" t="s">
        <v>438</v>
      </c>
      <c r="M249" s="2"/>
      <c r="N249" s="2" t="s">
        <v>29</v>
      </c>
      <c r="O249" s="2"/>
      <c r="P249" s="2" t="s">
        <v>1033</v>
      </c>
      <c r="Q249" s="2"/>
      <c r="R249" s="2"/>
      <c r="S249" s="2"/>
      <c r="T249" s="2" t="s">
        <v>2038</v>
      </c>
    </row>
    <row r="250" spans="1:20" ht="45" hidden="1" x14ac:dyDescent="0.25">
      <c r="A250" t="e">
        <f>INDEX('Orig (V1_BCK)'!$C:$C,MATCH($B250,'Orig (V1_BCK)'!$C:$C,0),1)</f>
        <v>#N/A</v>
      </c>
      <c r="B250" s="3" t="str">
        <f t="shared" si="3"/>
        <v>J7791516--</v>
      </c>
      <c r="C250" s="2" t="s">
        <v>1933</v>
      </c>
      <c r="D250" s="2" t="s">
        <v>661</v>
      </c>
      <c r="E250" s="2" t="s">
        <v>493</v>
      </c>
      <c r="F250" s="2" t="s">
        <v>29</v>
      </c>
      <c r="G250" s="2" t="s">
        <v>2601</v>
      </c>
      <c r="H250" s="2" t="s">
        <v>1934</v>
      </c>
      <c r="I250" s="2"/>
      <c r="J250" s="2"/>
      <c r="K250" s="2" t="s">
        <v>1312</v>
      </c>
      <c r="L250" s="2"/>
      <c r="M250" s="2"/>
      <c r="N250" s="2"/>
      <c r="O250" s="2"/>
      <c r="P250" s="2"/>
      <c r="Q250" s="2"/>
      <c r="R250" s="2"/>
      <c r="S250" s="2"/>
      <c r="T250" s="2" t="s">
        <v>2041</v>
      </c>
    </row>
    <row r="251" spans="1:20" ht="30" hidden="1" x14ac:dyDescent="0.25">
      <c r="A251" t="e">
        <f>INDEX('Orig (V1_BCK)'!$C:$C,MATCH($B251,'Orig (V1_BCK)'!$C:$C,0),1)</f>
        <v>#N/A</v>
      </c>
      <c r="B251" s="3" t="str">
        <f t="shared" si="3"/>
        <v>J8090824--</v>
      </c>
      <c r="C251" s="2" t="s">
        <v>1636</v>
      </c>
      <c r="D251" s="2" t="s">
        <v>661</v>
      </c>
      <c r="E251" s="2" t="s">
        <v>1536</v>
      </c>
      <c r="F251" s="2" t="s">
        <v>1599</v>
      </c>
      <c r="G251" s="2" t="s">
        <v>2513</v>
      </c>
      <c r="H251" s="2" t="s">
        <v>1637</v>
      </c>
      <c r="I251" s="2"/>
      <c r="J251" s="2"/>
      <c r="K251" s="2" t="s">
        <v>1312</v>
      </c>
      <c r="L251" s="2"/>
      <c r="M251" s="2"/>
      <c r="N251" s="2"/>
      <c r="O251" s="2"/>
      <c r="P251" s="2"/>
      <c r="Q251" s="2"/>
      <c r="R251" s="2"/>
      <c r="S251" s="2"/>
      <c r="T251" s="2" t="s">
        <v>2401</v>
      </c>
    </row>
    <row r="252" spans="1:20" hidden="1" x14ac:dyDescent="0.25">
      <c r="A252" t="str">
        <f>INDEX('Orig (V1_BCK)'!$C:$C,MATCH($B252,'Orig (V1_BCK)'!$C:$C,0),1)</f>
        <v>J8092275-J8092275-</v>
      </c>
      <c r="B252" s="3" t="str">
        <f t="shared" si="3"/>
        <v>J8092275-J8092275-</v>
      </c>
      <c r="C252" s="2" t="s">
        <v>474</v>
      </c>
      <c r="D252" s="2" t="s">
        <v>475</v>
      </c>
      <c r="E252" s="2" t="s">
        <v>476</v>
      </c>
      <c r="F252" s="2" t="s">
        <v>477</v>
      </c>
      <c r="G252" s="2" t="s">
        <v>2093</v>
      </c>
      <c r="H252" s="2" t="s">
        <v>478</v>
      </c>
      <c r="I252" s="2" t="s">
        <v>474</v>
      </c>
      <c r="J252" s="2"/>
      <c r="K252" s="2" t="s">
        <v>2094</v>
      </c>
      <c r="L252" s="2" t="s">
        <v>475</v>
      </c>
      <c r="M252" s="2"/>
      <c r="N252" s="2" t="s">
        <v>476</v>
      </c>
      <c r="O252" s="2"/>
      <c r="P252" s="2" t="s">
        <v>477</v>
      </c>
      <c r="Q252" s="2"/>
      <c r="R252" s="2"/>
      <c r="S252" s="2"/>
      <c r="T252" s="2" t="s">
        <v>2080</v>
      </c>
    </row>
    <row r="253" spans="1:20" hidden="1" x14ac:dyDescent="0.25">
      <c r="A253" t="str">
        <f>INDEX('Orig (V1_BCK)'!$C:$C,MATCH($B253,'Orig (V1_BCK)'!$C:$C,0),1)</f>
        <v>J8152481-J8152481-</v>
      </c>
      <c r="B253" s="3" t="str">
        <f t="shared" si="3"/>
        <v>J8152481-J8152481-</v>
      </c>
      <c r="C253" s="2" t="s">
        <v>665</v>
      </c>
      <c r="D253" s="2" t="s">
        <v>438</v>
      </c>
      <c r="E253" s="2" t="s">
        <v>666</v>
      </c>
      <c r="F253" s="2" t="s">
        <v>44</v>
      </c>
      <c r="G253" s="2" t="s">
        <v>2170</v>
      </c>
      <c r="H253" s="2" t="s">
        <v>667</v>
      </c>
      <c r="I253" s="2" t="s">
        <v>665</v>
      </c>
      <c r="J253" s="2"/>
      <c r="K253" s="2" t="s">
        <v>2171</v>
      </c>
      <c r="L253" s="2" t="s">
        <v>438</v>
      </c>
      <c r="M253" s="2"/>
      <c r="N253" s="2" t="s">
        <v>666</v>
      </c>
      <c r="O253" s="2"/>
      <c r="P253" s="2" t="s">
        <v>44</v>
      </c>
      <c r="Q253" s="2"/>
      <c r="R253" s="2"/>
      <c r="S253" s="2"/>
      <c r="T253" s="2" t="s">
        <v>2038</v>
      </c>
    </row>
    <row r="254" spans="1:20" ht="30" hidden="1" x14ac:dyDescent="0.25">
      <c r="A254" t="e">
        <f>INDEX('Orig (V1_BCK)'!$C:$C,MATCH($B254,'Orig (V1_BCK)'!$C:$C,0),1)</f>
        <v>#N/A</v>
      </c>
      <c r="B254" s="3" t="str">
        <f t="shared" si="3"/>
        <v>J8347664--</v>
      </c>
      <c r="C254" s="2" t="s">
        <v>1373</v>
      </c>
      <c r="D254" s="2" t="s">
        <v>1374</v>
      </c>
      <c r="E254" s="2" t="s">
        <v>8</v>
      </c>
      <c r="F254" s="2" t="s">
        <v>949</v>
      </c>
      <c r="G254" s="2" t="s">
        <v>2432</v>
      </c>
      <c r="H254" s="2" t="s">
        <v>1375</v>
      </c>
      <c r="I254" s="2"/>
      <c r="J254" s="2"/>
      <c r="K254" s="2" t="s">
        <v>1312</v>
      </c>
      <c r="L254" s="2"/>
      <c r="M254" s="2"/>
      <c r="N254" s="2"/>
      <c r="O254" s="2"/>
      <c r="P254" s="2"/>
      <c r="Q254" s="2"/>
      <c r="R254" s="2"/>
      <c r="S254" s="2"/>
      <c r="T254" s="2" t="s">
        <v>2080</v>
      </c>
    </row>
    <row r="255" spans="1:20" ht="30" hidden="1" x14ac:dyDescent="0.25">
      <c r="A255" t="e">
        <f>INDEX('Orig (V1_BCK)'!$C:$C,MATCH($B255,'Orig (V1_BCK)'!$C:$C,0),1)</f>
        <v>#N/A</v>
      </c>
      <c r="B255" s="3" t="str">
        <f t="shared" si="3"/>
        <v>J8422329--</v>
      </c>
      <c r="C255" s="2" t="s">
        <v>2012</v>
      </c>
      <c r="D255" s="2" t="s">
        <v>1332</v>
      </c>
      <c r="E255" s="2" t="s">
        <v>2013</v>
      </c>
      <c r="F255" s="2" t="s">
        <v>2014</v>
      </c>
      <c r="G255" s="2" t="s">
        <v>2628</v>
      </c>
      <c r="H255" s="2" t="s">
        <v>2015</v>
      </c>
      <c r="I255" s="2"/>
      <c r="J255" s="2"/>
      <c r="K255" s="2" t="s">
        <v>1312</v>
      </c>
      <c r="L255" s="2"/>
      <c r="M255" s="2"/>
      <c r="N255" s="2"/>
      <c r="O255" s="2"/>
      <c r="P255" s="2"/>
      <c r="Q255" s="2"/>
      <c r="R255" s="2"/>
      <c r="S255" s="2"/>
      <c r="T255" s="2" t="s">
        <v>2083</v>
      </c>
    </row>
    <row r="256" spans="1:20" hidden="1" x14ac:dyDescent="0.25">
      <c r="A256" t="str">
        <f>INDEX('Orig (V1_BCK)'!$C:$C,MATCH($B256,'Orig (V1_BCK)'!$C:$C,0),1)</f>
        <v>J8542026-J8542026-</v>
      </c>
      <c r="B256" s="3" t="str">
        <f t="shared" si="3"/>
        <v>J8542026-J8542026-</v>
      </c>
      <c r="C256" s="2" t="s">
        <v>548</v>
      </c>
      <c r="D256" s="2" t="s">
        <v>475</v>
      </c>
      <c r="E256" s="2" t="s">
        <v>105</v>
      </c>
      <c r="F256" s="2" t="s">
        <v>549</v>
      </c>
      <c r="G256" s="2" t="s">
        <v>2125</v>
      </c>
      <c r="H256" s="2" t="s">
        <v>550</v>
      </c>
      <c r="I256" s="2" t="s">
        <v>548</v>
      </c>
      <c r="J256" s="2"/>
      <c r="K256" s="2" t="s">
        <v>2126</v>
      </c>
      <c r="L256" s="2" t="s">
        <v>475</v>
      </c>
      <c r="M256" s="2"/>
      <c r="N256" s="2" t="s">
        <v>105</v>
      </c>
      <c r="O256" s="2"/>
      <c r="P256" s="2" t="s">
        <v>549</v>
      </c>
      <c r="Q256" s="2"/>
      <c r="R256" s="2"/>
      <c r="S256" s="2"/>
      <c r="T256" s="2" t="s">
        <v>2071</v>
      </c>
    </row>
    <row r="257" spans="1:20" ht="30" hidden="1" x14ac:dyDescent="0.25">
      <c r="A257" t="str">
        <f>INDEX('Orig (V1_BCK)'!$C:$C,MATCH($B257,'Orig (V1_BCK)'!$C:$C,0),1)</f>
        <v>J8747692-J8747692-</v>
      </c>
      <c r="B257" s="3" t="str">
        <f t="shared" si="3"/>
        <v>J8747692-J8747692-</v>
      </c>
      <c r="C257" s="2" t="s">
        <v>998</v>
      </c>
      <c r="D257" s="2" t="s">
        <v>999</v>
      </c>
      <c r="E257" s="2" t="s">
        <v>1000</v>
      </c>
      <c r="F257" s="2" t="s">
        <v>1001</v>
      </c>
      <c r="G257" s="2" t="s">
        <v>2296</v>
      </c>
      <c r="H257" s="2" t="s">
        <v>1002</v>
      </c>
      <c r="I257" s="2" t="s">
        <v>998</v>
      </c>
      <c r="J257" s="2"/>
      <c r="K257" s="2" t="s">
        <v>2297</v>
      </c>
      <c r="L257" s="2" t="s">
        <v>999</v>
      </c>
      <c r="M257" s="2"/>
      <c r="N257" s="2" t="s">
        <v>1000</v>
      </c>
      <c r="O257" s="2"/>
      <c r="P257" s="2" t="s">
        <v>1001</v>
      </c>
      <c r="Q257" s="2"/>
      <c r="R257" s="2"/>
      <c r="S257" s="2"/>
      <c r="T257" s="2" t="s">
        <v>2046</v>
      </c>
    </row>
    <row r="258" spans="1:20" ht="30" hidden="1" x14ac:dyDescent="0.25">
      <c r="A258" t="e">
        <f>INDEX('Orig (V1_BCK)'!$C:$C,MATCH($B258,'Orig (V1_BCK)'!$C:$C,0),1)</f>
        <v>#N/A</v>
      </c>
      <c r="B258" s="3" t="str">
        <f t="shared" si="3"/>
        <v>J8778071--</v>
      </c>
      <c r="C258" s="2" t="s">
        <v>1775</v>
      </c>
      <c r="D258" s="2" t="s">
        <v>458</v>
      </c>
      <c r="E258" s="2" t="s">
        <v>1776</v>
      </c>
      <c r="F258" s="2" t="s">
        <v>1777</v>
      </c>
      <c r="G258" s="2" t="s">
        <v>2554</v>
      </c>
      <c r="H258" s="2" t="s">
        <v>862</v>
      </c>
      <c r="I258" s="2"/>
      <c r="J258" s="2"/>
      <c r="K258" s="2" t="s">
        <v>1312</v>
      </c>
      <c r="L258" s="2"/>
      <c r="M258" s="2"/>
      <c r="N258" s="2"/>
      <c r="O258" s="2"/>
      <c r="P258" s="2"/>
      <c r="Q258" s="2"/>
      <c r="R258" s="2"/>
      <c r="S258" s="2"/>
      <c r="T258" s="2" t="s">
        <v>2041</v>
      </c>
    </row>
    <row r="259" spans="1:20" ht="30" hidden="1" x14ac:dyDescent="0.25">
      <c r="A259" t="e">
        <f>INDEX('Orig (V1_BCK)'!$C:$C,MATCH($B259,'Orig (V1_BCK)'!$C:$C,0),1)</f>
        <v>#N/A</v>
      </c>
      <c r="B259" s="3" t="str">
        <f t="shared" ref="B259:B322" si="4">_xlfn.TEXTJOIN("-",FALSE,$C259,$I259,$J259)</f>
        <v>J8949158--</v>
      </c>
      <c r="C259" s="2" t="s">
        <v>1707</v>
      </c>
      <c r="D259" s="2" t="s">
        <v>661</v>
      </c>
      <c r="E259" s="2" t="s">
        <v>1708</v>
      </c>
      <c r="F259" s="2" t="s">
        <v>59</v>
      </c>
      <c r="G259" s="2" t="s">
        <v>2535</v>
      </c>
      <c r="H259" s="2" t="s">
        <v>1709</v>
      </c>
      <c r="I259" s="2"/>
      <c r="J259" s="2"/>
      <c r="K259" s="2" t="s">
        <v>1312</v>
      </c>
      <c r="L259" s="2"/>
      <c r="M259" s="2"/>
      <c r="N259" s="2"/>
      <c r="O259" s="2"/>
      <c r="P259" s="2"/>
      <c r="Q259" s="2"/>
      <c r="R259" s="2"/>
      <c r="S259" s="2"/>
      <c r="T259" s="2" t="s">
        <v>2375</v>
      </c>
    </row>
    <row r="260" spans="1:20" ht="30" hidden="1" x14ac:dyDescent="0.25">
      <c r="A260" t="e">
        <f>INDEX('Orig (V1_BCK)'!$C:$C,MATCH($B260,'Orig (V1_BCK)'!$C:$C,0),1)</f>
        <v>#N/A</v>
      </c>
      <c r="B260" s="3" t="str">
        <f t="shared" si="4"/>
        <v>J8979609--</v>
      </c>
      <c r="C260" s="2" t="s">
        <v>1384</v>
      </c>
      <c r="D260" s="2" t="s">
        <v>127</v>
      </c>
      <c r="E260" s="2" t="s">
        <v>1352</v>
      </c>
      <c r="F260" s="2" t="s">
        <v>1385</v>
      </c>
      <c r="G260" s="2" t="s">
        <v>2436</v>
      </c>
      <c r="H260" s="2" t="s">
        <v>1386</v>
      </c>
      <c r="I260" s="2"/>
      <c r="J260" s="2"/>
      <c r="K260" s="2" t="s">
        <v>1312</v>
      </c>
      <c r="L260" s="2"/>
      <c r="M260" s="2"/>
      <c r="N260" s="2"/>
      <c r="O260" s="2"/>
      <c r="P260" s="2"/>
      <c r="Q260" s="2"/>
      <c r="R260" s="2"/>
      <c r="S260" s="2"/>
      <c r="T260" s="2" t="s">
        <v>2437</v>
      </c>
    </row>
    <row r="261" spans="1:20" hidden="1" x14ac:dyDescent="0.25">
      <c r="A261" t="str">
        <f>INDEX('Orig (V1_BCK)'!$C:$C,MATCH($B261,'Orig (V1_BCK)'!$C:$C,0),1)</f>
        <v>J9138648-J9138648-</v>
      </c>
      <c r="B261" s="3" t="str">
        <f t="shared" si="4"/>
        <v>J9138648-J9138648-</v>
      </c>
      <c r="C261" s="2" t="s">
        <v>689</v>
      </c>
      <c r="D261" s="2" t="s">
        <v>690</v>
      </c>
      <c r="E261" s="2" t="s">
        <v>691</v>
      </c>
      <c r="F261" s="2" t="s">
        <v>692</v>
      </c>
      <c r="G261" s="2" t="s">
        <v>2180</v>
      </c>
      <c r="H261" s="2" t="s">
        <v>693</v>
      </c>
      <c r="I261" s="2" t="s">
        <v>689</v>
      </c>
      <c r="J261" s="2"/>
      <c r="K261" s="2" t="s">
        <v>2181</v>
      </c>
      <c r="L261" s="2" t="s">
        <v>690</v>
      </c>
      <c r="M261" s="2"/>
      <c r="N261" s="2" t="s">
        <v>691</v>
      </c>
      <c r="O261" s="2"/>
      <c r="P261" s="2" t="s">
        <v>692</v>
      </c>
      <c r="Q261" s="2"/>
      <c r="R261" s="2"/>
      <c r="S261" s="2"/>
      <c r="T261" s="2" t="s">
        <v>2038</v>
      </c>
    </row>
    <row r="262" spans="1:20" hidden="1" x14ac:dyDescent="0.25">
      <c r="A262" t="str">
        <f>INDEX('Orig (V1_BCK)'!$C:$C,MATCH($B262,'Orig (V1_BCK)'!$C:$C,0),1)</f>
        <v>J9286163-J9286163-</v>
      </c>
      <c r="B262" s="3" t="str">
        <f t="shared" si="4"/>
        <v>J9286163-J9286163-</v>
      </c>
      <c r="C262" s="2" t="s">
        <v>563</v>
      </c>
      <c r="D262" s="2" t="s">
        <v>564</v>
      </c>
      <c r="E262" s="2" t="s">
        <v>542</v>
      </c>
      <c r="F262" s="2" t="s">
        <v>565</v>
      </c>
      <c r="G262" s="2" t="s">
        <v>2133</v>
      </c>
      <c r="H262" s="2" t="s">
        <v>566</v>
      </c>
      <c r="I262" s="2" t="s">
        <v>563</v>
      </c>
      <c r="J262" s="2"/>
      <c r="K262" s="2" t="s">
        <v>2134</v>
      </c>
      <c r="L262" s="2" t="s">
        <v>564</v>
      </c>
      <c r="M262" s="2"/>
      <c r="N262" s="2" t="s">
        <v>542</v>
      </c>
      <c r="O262" s="2"/>
      <c r="P262" s="2" t="s">
        <v>565</v>
      </c>
      <c r="Q262" s="2"/>
      <c r="R262" s="2"/>
      <c r="S262" s="2"/>
      <c r="T262" s="2" t="s">
        <v>2071</v>
      </c>
    </row>
    <row r="263" spans="1:20" hidden="1" x14ac:dyDescent="0.25">
      <c r="A263" t="e">
        <f>INDEX('Orig (V1_BCK)'!$C:$C,MATCH($B263,'Orig (V1_BCK)'!$C:$C,0),1)</f>
        <v>#N/A</v>
      </c>
      <c r="B263" s="3" t="str">
        <f t="shared" si="4"/>
        <v>J9332943--</v>
      </c>
      <c r="C263" s="2" t="s">
        <v>1156</v>
      </c>
      <c r="D263" s="2" t="s">
        <v>564</v>
      </c>
      <c r="E263" s="2" t="s">
        <v>1157</v>
      </c>
      <c r="F263" s="2" t="s">
        <v>1158</v>
      </c>
      <c r="G263" s="2" t="s">
        <v>2371</v>
      </c>
      <c r="H263" s="2" t="s">
        <v>779</v>
      </c>
      <c r="I263" s="2"/>
      <c r="J263" s="2"/>
      <c r="K263" s="2" t="s">
        <v>1312</v>
      </c>
      <c r="L263" s="2"/>
      <c r="M263" s="2"/>
      <c r="N263" s="2"/>
      <c r="O263" s="2"/>
      <c r="P263" s="2"/>
      <c r="Q263" s="2"/>
      <c r="R263" s="2"/>
      <c r="S263" s="2"/>
      <c r="T263" s="2" t="s">
        <v>47</v>
      </c>
    </row>
    <row r="264" spans="1:20" ht="30" hidden="1" x14ac:dyDescent="0.25">
      <c r="A264" t="str">
        <f>INDEX('Orig (V1_BCK)'!$C:$C,MATCH($B264,'Orig (V1_BCK)'!$C:$C,0),1)</f>
        <v>J9341213--J2543295</v>
      </c>
      <c r="B264" s="3" t="str">
        <f t="shared" si="4"/>
        <v>J9341213--J2543295</v>
      </c>
      <c r="C264" s="2" t="s">
        <v>826</v>
      </c>
      <c r="D264" s="2" t="s">
        <v>24</v>
      </c>
      <c r="E264" s="2" t="s">
        <v>740</v>
      </c>
      <c r="F264" s="2" t="s">
        <v>827</v>
      </c>
      <c r="G264" s="2" t="s">
        <v>2230</v>
      </c>
      <c r="H264" s="2" t="s">
        <v>828</v>
      </c>
      <c r="I264" s="2"/>
      <c r="J264" s="2" t="s">
        <v>795</v>
      </c>
      <c r="K264" s="2" t="s">
        <v>2220</v>
      </c>
      <c r="L264" s="2"/>
      <c r="M264" s="2" t="s">
        <v>796</v>
      </c>
      <c r="N264" s="2"/>
      <c r="O264" s="2" t="s">
        <v>797</v>
      </c>
      <c r="P264" s="2"/>
      <c r="Q264" s="2" t="s">
        <v>798</v>
      </c>
      <c r="R264" s="2"/>
      <c r="S264" s="2"/>
      <c r="T264" s="2" t="s">
        <v>2046</v>
      </c>
    </row>
    <row r="265" spans="1:20" hidden="1" x14ac:dyDescent="0.25">
      <c r="A265" t="str">
        <f>INDEX('Orig (V1_BCK)'!$C:$C,MATCH($B265,'Orig (V1_BCK)'!$C:$C,0),1)</f>
        <v>J9366757-J9366757-</v>
      </c>
      <c r="B265" s="3" t="str">
        <f t="shared" si="4"/>
        <v>J9366757-J9366757-</v>
      </c>
      <c r="C265" s="2" t="s">
        <v>540</v>
      </c>
      <c r="D265" s="2" t="s">
        <v>24</v>
      </c>
      <c r="E265" s="2" t="s">
        <v>541</v>
      </c>
      <c r="F265" s="2" t="s">
        <v>542</v>
      </c>
      <c r="G265" s="2" t="s">
        <v>2121</v>
      </c>
      <c r="H265" s="2" t="s">
        <v>543</v>
      </c>
      <c r="I265" s="2" t="s">
        <v>540</v>
      </c>
      <c r="J265" s="2"/>
      <c r="K265" s="2" t="s">
        <v>2122</v>
      </c>
      <c r="L265" s="2" t="s">
        <v>24</v>
      </c>
      <c r="M265" s="2"/>
      <c r="N265" s="2" t="s">
        <v>541</v>
      </c>
      <c r="O265" s="2"/>
      <c r="P265" s="2" t="s">
        <v>542</v>
      </c>
      <c r="Q265" s="2"/>
      <c r="R265" s="2"/>
      <c r="S265" s="2"/>
      <c r="T265" s="2" t="s">
        <v>2071</v>
      </c>
    </row>
    <row r="266" spans="1:20" ht="30" hidden="1" x14ac:dyDescent="0.25">
      <c r="A266" t="str">
        <f>INDEX('Orig (V1_BCK)'!$C:$C,MATCH($B266,'Orig (V1_BCK)'!$C:$C,0),1)</f>
        <v>J9529977--C9446654</v>
      </c>
      <c r="B266" s="3" t="str">
        <f t="shared" si="4"/>
        <v>J9529977--C9446654</v>
      </c>
      <c r="C266" s="2" t="s">
        <v>844</v>
      </c>
      <c r="D266" s="2" t="s">
        <v>458</v>
      </c>
      <c r="E266" s="2" t="s">
        <v>845</v>
      </c>
      <c r="F266" s="2" t="s">
        <v>691</v>
      </c>
      <c r="G266" s="2" t="s">
        <v>2233</v>
      </c>
      <c r="H266" s="2" t="s">
        <v>2233</v>
      </c>
      <c r="I266" s="2"/>
      <c r="J266" s="2" t="s">
        <v>846</v>
      </c>
      <c r="K266" s="2" t="s">
        <v>2234</v>
      </c>
      <c r="L266" s="2"/>
      <c r="M266" s="2" t="s">
        <v>847</v>
      </c>
      <c r="N266" s="2"/>
      <c r="O266" s="2" t="s">
        <v>30</v>
      </c>
      <c r="P266" s="2"/>
      <c r="Q266" s="2" t="s">
        <v>848</v>
      </c>
      <c r="R266" s="2"/>
      <c r="S266" s="2"/>
      <c r="T266" s="2" t="s">
        <v>2083</v>
      </c>
    </row>
    <row r="267" spans="1:20" hidden="1" x14ac:dyDescent="0.25">
      <c r="A267" t="str">
        <f>INDEX('Orig (V1_BCK)'!$C:$C,MATCH($B267,'Orig (V1_BCK)'!$C:$C,0),1)</f>
        <v>J9571630--J7446134</v>
      </c>
      <c r="B267" s="3" t="str">
        <f t="shared" si="4"/>
        <v>J9571630--J7446134</v>
      </c>
      <c r="C267" s="2" t="s">
        <v>808</v>
      </c>
      <c r="D267" s="2" t="s">
        <v>809</v>
      </c>
      <c r="E267" s="2" t="s">
        <v>578</v>
      </c>
      <c r="F267" s="2" t="s">
        <v>810</v>
      </c>
      <c r="G267" s="2" t="s">
        <v>2224</v>
      </c>
      <c r="H267" s="2" t="s">
        <v>811</v>
      </c>
      <c r="I267" s="2"/>
      <c r="J267" s="2" t="s">
        <v>812</v>
      </c>
      <c r="K267" s="2" t="s">
        <v>2225</v>
      </c>
      <c r="L267" s="2"/>
      <c r="M267" s="2" t="s">
        <v>661</v>
      </c>
      <c r="N267" s="2"/>
      <c r="O267" s="2" t="s">
        <v>813</v>
      </c>
      <c r="P267" s="2"/>
      <c r="Q267" s="2" t="s">
        <v>11</v>
      </c>
      <c r="R267" s="2"/>
      <c r="S267" s="2"/>
      <c r="T267" s="2" t="s">
        <v>2046</v>
      </c>
    </row>
    <row r="268" spans="1:20" ht="30" hidden="1" x14ac:dyDescent="0.25">
      <c r="A268" t="e">
        <f>INDEX('Orig (V1_BCK)'!$C:$C,MATCH($B268,'Orig (V1_BCK)'!$C:$C,0),1)</f>
        <v>#N/A</v>
      </c>
      <c r="B268" s="3" t="str">
        <f t="shared" si="4"/>
        <v>J9591700--</v>
      </c>
      <c r="C268" s="2" t="s">
        <v>1643</v>
      </c>
      <c r="D268" s="2" t="s">
        <v>1644</v>
      </c>
      <c r="E268" s="2" t="s">
        <v>1505</v>
      </c>
      <c r="F268" s="2" t="s">
        <v>642</v>
      </c>
      <c r="G268" s="2" t="s">
        <v>2515</v>
      </c>
      <c r="H268" s="2" t="s">
        <v>1645</v>
      </c>
      <c r="I268" s="2"/>
      <c r="J268" s="2"/>
      <c r="K268" s="2" t="s">
        <v>1312</v>
      </c>
      <c r="L268" s="2"/>
      <c r="M268" s="2"/>
      <c r="N268" s="2"/>
      <c r="O268" s="2"/>
      <c r="P268" s="2"/>
      <c r="Q268" s="2"/>
      <c r="R268" s="2"/>
      <c r="S268" s="2"/>
      <c r="T268" s="2" t="s">
        <v>2375</v>
      </c>
    </row>
    <row r="269" spans="1:20" ht="30" hidden="1" x14ac:dyDescent="0.25">
      <c r="A269" t="str">
        <f>INDEX('Orig (V1_BCK)'!$C:$C,MATCH($B269,'Orig (V1_BCK)'!$C:$C,0),1)</f>
        <v>J9593148-J9593148-</v>
      </c>
      <c r="B269" s="3" t="str">
        <f t="shared" si="4"/>
        <v>J9593148-J9593148-</v>
      </c>
      <c r="C269" s="2" t="s">
        <v>645</v>
      </c>
      <c r="D269" s="2" t="s">
        <v>646</v>
      </c>
      <c r="E269" s="2" t="s">
        <v>647</v>
      </c>
      <c r="F269" s="2" t="s">
        <v>493</v>
      </c>
      <c r="G269" s="2" t="s">
        <v>2165</v>
      </c>
      <c r="H269" s="2" t="s">
        <v>648</v>
      </c>
      <c r="I269" s="2" t="s">
        <v>645</v>
      </c>
      <c r="J269" s="2"/>
      <c r="K269" s="2" t="s">
        <v>2166</v>
      </c>
      <c r="L269" s="2" t="s">
        <v>646</v>
      </c>
      <c r="M269" s="2"/>
      <c r="N269" s="2" t="s">
        <v>647</v>
      </c>
      <c r="O269" s="2"/>
      <c r="P269" s="2" t="s">
        <v>493</v>
      </c>
      <c r="Q269" s="2"/>
      <c r="R269" s="2"/>
      <c r="S269" s="2"/>
      <c r="T269" s="2" t="s">
        <v>2038</v>
      </c>
    </row>
    <row r="270" spans="1:20" ht="30" hidden="1" x14ac:dyDescent="0.25">
      <c r="A270" t="str">
        <f>INDEX('Orig (V1_BCK)'!$C:$C,MATCH($B270,'Orig (V1_BCK)'!$C:$C,0),1)</f>
        <v>J9593148-SGID0009-</v>
      </c>
      <c r="B270" s="3" t="str">
        <f t="shared" si="4"/>
        <v>J9593148-SGID0009-</v>
      </c>
      <c r="C270" s="2" t="s">
        <v>645</v>
      </c>
      <c r="D270" s="2" t="s">
        <v>646</v>
      </c>
      <c r="E270" s="2" t="s">
        <v>647</v>
      </c>
      <c r="F270" s="2" t="s">
        <v>493</v>
      </c>
      <c r="G270" s="2" t="s">
        <v>2165</v>
      </c>
      <c r="H270" s="2" t="s">
        <v>648</v>
      </c>
      <c r="I270" s="2" t="s">
        <v>649</v>
      </c>
      <c r="J270" s="2"/>
      <c r="K270" s="2" t="s">
        <v>2166</v>
      </c>
      <c r="L270" s="2" t="s">
        <v>650</v>
      </c>
      <c r="M270" s="2"/>
      <c r="N270" s="2" t="s">
        <v>651</v>
      </c>
      <c r="O270" s="2"/>
      <c r="P270" s="2"/>
      <c r="Q270" s="2"/>
      <c r="R270" s="2"/>
      <c r="S270" s="2"/>
      <c r="T270" s="2" t="s">
        <v>2038</v>
      </c>
    </row>
    <row r="271" spans="1:20" ht="30" hidden="1" x14ac:dyDescent="0.25">
      <c r="A271" t="str">
        <f>INDEX('Orig (V1_BCK)'!$C:$C,MATCH($B271,'Orig (V1_BCK)'!$C:$C,0),1)</f>
        <v>J9593148-SGID1234-</v>
      </c>
      <c r="B271" s="3" t="str">
        <f t="shared" si="4"/>
        <v>J9593148-SGID1234-</v>
      </c>
      <c r="C271" s="2" t="s">
        <v>645</v>
      </c>
      <c r="D271" s="2" t="s">
        <v>646</v>
      </c>
      <c r="E271" s="2" t="s">
        <v>647</v>
      </c>
      <c r="F271" s="2" t="s">
        <v>493</v>
      </c>
      <c r="G271" s="2" t="s">
        <v>2165</v>
      </c>
      <c r="H271" s="2" t="s">
        <v>648</v>
      </c>
      <c r="I271" s="2" t="s">
        <v>652</v>
      </c>
      <c r="J271" s="2"/>
      <c r="K271" s="2" t="s">
        <v>2166</v>
      </c>
      <c r="L271" s="2" t="s">
        <v>650</v>
      </c>
      <c r="M271" s="2"/>
      <c r="N271" s="2" t="s">
        <v>651</v>
      </c>
      <c r="O271" s="2"/>
      <c r="P271" s="2"/>
      <c r="Q271" s="2"/>
      <c r="R271" s="2"/>
      <c r="S271" s="2"/>
      <c r="T271" s="2" t="s">
        <v>2038</v>
      </c>
    </row>
    <row r="272" spans="1:20" ht="30" hidden="1" x14ac:dyDescent="0.25">
      <c r="A272" t="str">
        <f>INDEX('Orig (V1_BCK)'!$C:$C,MATCH($B272,'Orig (V1_BCK)'!$C:$C,0),1)</f>
        <v>J9593148-SS012345-</v>
      </c>
      <c r="B272" s="3" t="str">
        <f t="shared" si="4"/>
        <v>J9593148-SS012345-</v>
      </c>
      <c r="C272" s="2" t="s">
        <v>645</v>
      </c>
      <c r="D272" s="2" t="s">
        <v>646</v>
      </c>
      <c r="E272" s="2" t="s">
        <v>647</v>
      </c>
      <c r="F272" s="2" t="s">
        <v>493</v>
      </c>
      <c r="G272" s="2" t="s">
        <v>2165</v>
      </c>
      <c r="H272" s="2" t="s">
        <v>648</v>
      </c>
      <c r="I272" s="2" t="s">
        <v>653</v>
      </c>
      <c r="J272" s="2"/>
      <c r="K272" s="2" t="s">
        <v>2166</v>
      </c>
      <c r="L272" s="2" t="s">
        <v>654</v>
      </c>
      <c r="M272" s="2"/>
      <c r="N272" s="2" t="s">
        <v>655</v>
      </c>
      <c r="O272" s="2"/>
      <c r="P272" s="2" t="s">
        <v>656</v>
      </c>
      <c r="Q272" s="2"/>
      <c r="R272" s="2"/>
      <c r="S272" s="2"/>
      <c r="T272" s="2" t="s">
        <v>2038</v>
      </c>
    </row>
    <row r="273" spans="1:20" hidden="1" x14ac:dyDescent="0.25">
      <c r="A273" t="e">
        <f>INDEX('Orig (V1_BCK)'!$C:$C,MATCH($B273,'Orig (V1_BCK)'!$C:$C,0),1)</f>
        <v>#N/A</v>
      </c>
      <c r="B273" s="3" t="str">
        <f t="shared" si="4"/>
        <v>J9678309--</v>
      </c>
      <c r="C273" s="2" t="s">
        <v>1317</v>
      </c>
      <c r="D273" s="2" t="s">
        <v>809</v>
      </c>
      <c r="E273" s="2" t="s">
        <v>545</v>
      </c>
      <c r="F273" s="2" t="s">
        <v>546</v>
      </c>
      <c r="G273" s="2" t="s">
        <v>2416</v>
      </c>
      <c r="H273" s="2" t="s">
        <v>1318</v>
      </c>
      <c r="I273" s="2"/>
      <c r="J273" s="2"/>
      <c r="K273" s="2" t="s">
        <v>1312</v>
      </c>
      <c r="L273" s="2"/>
      <c r="M273" s="2"/>
      <c r="N273" s="2"/>
      <c r="O273" s="2"/>
      <c r="P273" s="2"/>
      <c r="Q273" s="2"/>
      <c r="R273" s="2"/>
      <c r="S273" s="2"/>
      <c r="T273" s="2" t="s">
        <v>2071</v>
      </c>
    </row>
    <row r="274" spans="1:20" hidden="1" x14ac:dyDescent="0.25">
      <c r="A274" t="e">
        <f>INDEX('Orig (V1_BCK)'!$C:$C,MATCH($B274,'Orig (V1_BCK)'!$C:$C,0),1)</f>
        <v>#N/A</v>
      </c>
      <c r="B274" s="3" t="str">
        <f t="shared" si="4"/>
        <v>J9722260--</v>
      </c>
      <c r="C274" s="2" t="s">
        <v>1827</v>
      </c>
      <c r="D274" s="2" t="s">
        <v>1828</v>
      </c>
      <c r="E274" s="2" t="s">
        <v>29</v>
      </c>
      <c r="F274" s="2" t="s">
        <v>148</v>
      </c>
      <c r="G274" s="2" t="s">
        <v>2569</v>
      </c>
      <c r="H274" s="2" t="s">
        <v>1829</v>
      </c>
      <c r="I274" s="2"/>
      <c r="J274" s="2"/>
      <c r="K274" s="2" t="s">
        <v>1312</v>
      </c>
      <c r="L274" s="2"/>
      <c r="M274" s="2"/>
      <c r="N274" s="2"/>
      <c r="O274" s="2"/>
      <c r="P274" s="2"/>
      <c r="Q274" s="2"/>
      <c r="R274" s="2"/>
      <c r="S274" s="2"/>
      <c r="T274" s="2" t="s">
        <v>2038</v>
      </c>
    </row>
    <row r="275" spans="1:20" hidden="1" x14ac:dyDescent="0.25">
      <c r="A275" t="str">
        <f>INDEX('Orig (V1_BCK)'!$C:$C,MATCH($B275,'Orig (V1_BCK)'!$C:$C,0),1)</f>
        <v>J9850638-J9850638-</v>
      </c>
      <c r="B275" s="3" t="str">
        <f t="shared" si="4"/>
        <v>J9850638-J9850638-</v>
      </c>
      <c r="C275" s="2" t="s">
        <v>966</v>
      </c>
      <c r="D275" s="2" t="s">
        <v>127</v>
      </c>
      <c r="E275" s="2" t="s">
        <v>8</v>
      </c>
      <c r="F275" s="2" t="s">
        <v>967</v>
      </c>
      <c r="G275" s="2" t="s">
        <v>2280</v>
      </c>
      <c r="H275" s="2" t="s">
        <v>854</v>
      </c>
      <c r="I275" s="2" t="s">
        <v>966</v>
      </c>
      <c r="J275" s="2"/>
      <c r="K275" s="2" t="s">
        <v>2281</v>
      </c>
      <c r="L275" s="2" t="s">
        <v>127</v>
      </c>
      <c r="M275" s="2"/>
      <c r="N275" s="2" t="s">
        <v>8</v>
      </c>
      <c r="O275" s="2"/>
      <c r="P275" s="2" t="s">
        <v>967</v>
      </c>
      <c r="Q275" s="2"/>
      <c r="R275" s="2"/>
      <c r="S275" s="2"/>
      <c r="T275" s="2" t="s">
        <v>2046</v>
      </c>
    </row>
    <row r="276" spans="1:20" ht="45" hidden="1" x14ac:dyDescent="0.25">
      <c r="A276" t="e">
        <f>INDEX('Orig (V1_BCK)'!$C:$C,MATCH($B276,'Orig (V1_BCK)'!$C:$C,0),1)</f>
        <v>#N/A</v>
      </c>
      <c r="B276" s="3" t="str">
        <f t="shared" si="4"/>
        <v>J9873742--</v>
      </c>
      <c r="C276" s="2" t="s">
        <v>1814</v>
      </c>
      <c r="D276" s="2" t="s">
        <v>1117</v>
      </c>
      <c r="E276" s="2" t="s">
        <v>12</v>
      </c>
      <c r="F276" s="2" t="s">
        <v>1815</v>
      </c>
      <c r="G276" s="2" t="s">
        <v>2565</v>
      </c>
      <c r="H276" s="2" t="s">
        <v>1816</v>
      </c>
      <c r="I276" s="2"/>
      <c r="J276" s="2"/>
      <c r="K276" s="2" t="s">
        <v>1312</v>
      </c>
      <c r="L276" s="2"/>
      <c r="M276" s="2"/>
      <c r="N276" s="2"/>
      <c r="O276" s="2"/>
      <c r="P276" s="2"/>
      <c r="Q276" s="2"/>
      <c r="R276" s="2"/>
      <c r="S276" s="2"/>
      <c r="T276" s="2" t="s">
        <v>2041</v>
      </c>
    </row>
    <row r="277" spans="1:20" ht="30" hidden="1" x14ac:dyDescent="0.25">
      <c r="A277" t="e">
        <f>INDEX('Orig (V1_BCK)'!$C:$C,MATCH($B277,'Orig (V1_BCK)'!$C:$C,0),1)</f>
        <v>#N/A</v>
      </c>
      <c r="B277" s="3" t="str">
        <f t="shared" si="4"/>
        <v>J9875606--</v>
      </c>
      <c r="C277" s="2" t="s">
        <v>1322</v>
      </c>
      <c r="D277" s="2" t="s">
        <v>24</v>
      </c>
      <c r="E277" s="2" t="s">
        <v>1323</v>
      </c>
      <c r="F277" s="2" t="s">
        <v>1324</v>
      </c>
      <c r="G277" s="2" t="s">
        <v>2418</v>
      </c>
      <c r="H277" s="2" t="s">
        <v>1325</v>
      </c>
      <c r="I277" s="2"/>
      <c r="J277" s="2"/>
      <c r="K277" s="2" t="s">
        <v>1312</v>
      </c>
      <c r="L277" s="2"/>
      <c r="M277" s="2"/>
      <c r="N277" s="2"/>
      <c r="O277" s="2"/>
      <c r="P277" s="2"/>
      <c r="Q277" s="2"/>
      <c r="R277" s="2"/>
      <c r="S277" s="2"/>
      <c r="T277" s="2" t="s">
        <v>2080</v>
      </c>
    </row>
    <row r="278" spans="1:20" hidden="1" x14ac:dyDescent="0.25">
      <c r="A278" t="str">
        <f>INDEX('Orig (V1_BCK)'!$C:$C,MATCH($B278,'Orig (V1_BCK)'!$C:$C,0),1)</f>
        <v>L0082750--M9785960</v>
      </c>
      <c r="B278" s="3" t="str">
        <f t="shared" si="4"/>
        <v>L0082750--M9785960</v>
      </c>
      <c r="C278" s="2" t="s">
        <v>850</v>
      </c>
      <c r="D278" s="2" t="s">
        <v>851</v>
      </c>
      <c r="E278" s="2" t="s">
        <v>852</v>
      </c>
      <c r="F278" s="2" t="s">
        <v>853</v>
      </c>
      <c r="G278" s="2" t="s">
        <v>2235</v>
      </c>
      <c r="H278" s="2" t="s">
        <v>2235</v>
      </c>
      <c r="I278" s="2"/>
      <c r="J278" s="2" t="s">
        <v>819</v>
      </c>
      <c r="K278" s="2" t="s">
        <v>2228</v>
      </c>
      <c r="L278" s="2"/>
      <c r="M278" s="2" t="s">
        <v>820</v>
      </c>
      <c r="N278" s="2"/>
      <c r="O278" s="2" t="s">
        <v>74</v>
      </c>
      <c r="P278" s="2"/>
      <c r="Q278" s="2" t="s">
        <v>8</v>
      </c>
      <c r="R278" s="2"/>
      <c r="S278" s="2"/>
      <c r="T278" s="2" t="s">
        <v>2083</v>
      </c>
    </row>
    <row r="279" spans="1:20" ht="30" hidden="1" x14ac:dyDescent="0.25">
      <c r="A279" t="e">
        <f>INDEX('Orig (V1_BCK)'!$C:$C,MATCH($B279,'Orig (V1_BCK)'!$C:$C,0),1)</f>
        <v>#N/A</v>
      </c>
      <c r="B279" s="3" t="str">
        <f t="shared" si="4"/>
        <v>L0449417--</v>
      </c>
      <c r="C279" s="2" t="s">
        <v>1498</v>
      </c>
      <c r="D279" s="2" t="s">
        <v>1107</v>
      </c>
      <c r="E279" s="2" t="s">
        <v>666</v>
      </c>
      <c r="F279" s="2" t="s">
        <v>1210</v>
      </c>
      <c r="G279" s="2" t="s">
        <v>2473</v>
      </c>
      <c r="H279" s="2" t="s">
        <v>1499</v>
      </c>
      <c r="I279" s="2"/>
      <c r="J279" s="2"/>
      <c r="K279" s="2" t="s">
        <v>1312</v>
      </c>
      <c r="L279" s="2"/>
      <c r="M279" s="2"/>
      <c r="N279" s="2"/>
      <c r="O279" s="2"/>
      <c r="P279" s="2"/>
      <c r="Q279" s="2"/>
      <c r="R279" s="2"/>
      <c r="S279" s="2"/>
      <c r="T279" s="2" t="s">
        <v>2080</v>
      </c>
    </row>
    <row r="280" spans="1:20" ht="30" hidden="1" x14ac:dyDescent="0.25">
      <c r="A280" t="e">
        <f>INDEX('Orig (V1_BCK)'!$C:$C,MATCH($B280,'Orig (V1_BCK)'!$C:$C,0),1)</f>
        <v>#N/A</v>
      </c>
      <c r="B280" s="3" t="str">
        <f t="shared" si="4"/>
        <v>L1163863--</v>
      </c>
      <c r="C280" s="2" t="s">
        <v>1923</v>
      </c>
      <c r="D280" s="2" t="s">
        <v>1924</v>
      </c>
      <c r="E280" s="2" t="s">
        <v>11</v>
      </c>
      <c r="F280" s="2" t="s">
        <v>1925</v>
      </c>
      <c r="G280" s="2" t="s">
        <v>2598</v>
      </c>
      <c r="H280" s="2" t="s">
        <v>1926</v>
      </c>
      <c r="I280" s="2"/>
      <c r="J280" s="2"/>
      <c r="K280" s="2" t="s">
        <v>1312</v>
      </c>
      <c r="L280" s="2"/>
      <c r="M280" s="2"/>
      <c r="N280" s="2"/>
      <c r="O280" s="2"/>
      <c r="P280" s="2"/>
      <c r="Q280" s="2"/>
      <c r="R280" s="2"/>
      <c r="S280" s="2"/>
      <c r="T280" s="2" t="s">
        <v>2378</v>
      </c>
    </row>
    <row r="281" spans="1:20" ht="30" hidden="1" x14ac:dyDescent="0.25">
      <c r="A281" t="str">
        <f>INDEX('Orig (V1_BCK)'!$C:$C,MATCH($B281,'Orig (V1_BCK)'!$C:$C,0),1)</f>
        <v>L1210414--G3229318</v>
      </c>
      <c r="B281" s="3" t="str">
        <f t="shared" si="4"/>
        <v>L1210414--G3229318</v>
      </c>
      <c r="C281" s="2" t="s">
        <v>860</v>
      </c>
      <c r="D281" s="2" t="s">
        <v>197</v>
      </c>
      <c r="E281" s="2" t="s">
        <v>21</v>
      </c>
      <c r="F281" s="2" t="s">
        <v>861</v>
      </c>
      <c r="G281" s="2" t="s">
        <v>2238</v>
      </c>
      <c r="H281" s="2" t="s">
        <v>862</v>
      </c>
      <c r="I281" s="2"/>
      <c r="J281" s="2" t="s">
        <v>791</v>
      </c>
      <c r="K281" s="2" t="s">
        <v>2219</v>
      </c>
      <c r="L281" s="2"/>
      <c r="M281" s="2" t="s">
        <v>524</v>
      </c>
      <c r="N281" s="2"/>
      <c r="O281" s="2" t="s">
        <v>792</v>
      </c>
      <c r="P281" s="2"/>
      <c r="Q281" s="2" t="s">
        <v>793</v>
      </c>
      <c r="R281" s="2"/>
      <c r="S281" s="2"/>
      <c r="T281" s="2" t="s">
        <v>2046</v>
      </c>
    </row>
    <row r="282" spans="1:20" ht="30" hidden="1" x14ac:dyDescent="0.25">
      <c r="A282" t="e">
        <f>INDEX('Orig (V1_BCK)'!$C:$C,MATCH($B282,'Orig (V1_BCK)'!$C:$C,0),1)</f>
        <v>#N/A</v>
      </c>
      <c r="B282" s="3" t="str">
        <f t="shared" si="4"/>
        <v>L1963689--</v>
      </c>
      <c r="C282" s="2" t="s">
        <v>1429</v>
      </c>
      <c r="D282" s="2" t="s">
        <v>1430</v>
      </c>
      <c r="E282" s="2" t="s">
        <v>1431</v>
      </c>
      <c r="F282" s="2" t="s">
        <v>1432</v>
      </c>
      <c r="G282" s="2" t="s">
        <v>2453</v>
      </c>
      <c r="H282" s="2" t="s">
        <v>1433</v>
      </c>
      <c r="I282" s="2"/>
      <c r="J282" s="2"/>
      <c r="K282" s="2" t="s">
        <v>1312</v>
      </c>
      <c r="L282" s="2"/>
      <c r="M282" s="2"/>
      <c r="N282" s="2"/>
      <c r="O282" s="2"/>
      <c r="P282" s="2"/>
      <c r="Q282" s="2"/>
      <c r="R282" s="2"/>
      <c r="S282" s="2"/>
      <c r="T282" s="2" t="s">
        <v>2375</v>
      </c>
    </row>
    <row r="283" spans="1:20" hidden="1" x14ac:dyDescent="0.25">
      <c r="A283" t="str">
        <f>INDEX('Orig (V1_BCK)'!$C:$C,MATCH($B283,'Orig (V1_BCK)'!$C:$C,0),1)</f>
        <v>L3456848-L3456848-</v>
      </c>
      <c r="B283" s="3" t="str">
        <f t="shared" si="4"/>
        <v>L3456848-L3456848-</v>
      </c>
      <c r="C283" s="2" t="s">
        <v>84</v>
      </c>
      <c r="D283" s="2" t="s">
        <v>85</v>
      </c>
      <c r="E283" s="2" t="s">
        <v>86</v>
      </c>
      <c r="F283" s="2" t="s">
        <v>87</v>
      </c>
      <c r="G283" s="2" t="s">
        <v>2067</v>
      </c>
      <c r="H283" s="2" t="s">
        <v>88</v>
      </c>
      <c r="I283" s="2" t="s">
        <v>84</v>
      </c>
      <c r="J283" s="2"/>
      <c r="K283" s="2" t="s">
        <v>2068</v>
      </c>
      <c r="L283" s="2" t="s">
        <v>85</v>
      </c>
      <c r="M283" s="2"/>
      <c r="N283" s="2" t="s">
        <v>86</v>
      </c>
      <c r="O283" s="2"/>
      <c r="P283" s="2" t="s">
        <v>87</v>
      </c>
      <c r="Q283" s="2"/>
      <c r="R283" s="2"/>
      <c r="S283" s="2"/>
      <c r="T283" s="2" t="s">
        <v>2038</v>
      </c>
    </row>
    <row r="284" spans="1:20" ht="30" hidden="1" x14ac:dyDescent="0.25">
      <c r="A284" t="e">
        <f>INDEX('Orig (V1_BCK)'!$C:$C,MATCH($B284,'Orig (V1_BCK)'!$C:$C,0),1)</f>
        <v>#N/A</v>
      </c>
      <c r="B284" s="3" t="str">
        <f t="shared" si="4"/>
        <v>L4116890--</v>
      </c>
      <c r="C284" s="2" t="s">
        <v>1566</v>
      </c>
      <c r="D284" s="2" t="s">
        <v>1567</v>
      </c>
      <c r="E284" s="2" t="s">
        <v>1568</v>
      </c>
      <c r="F284" s="2" t="s">
        <v>448</v>
      </c>
      <c r="G284" s="2" t="s">
        <v>2493</v>
      </c>
      <c r="H284" s="2" t="s">
        <v>1569</v>
      </c>
      <c r="I284" s="2"/>
      <c r="J284" s="2"/>
      <c r="K284" s="2" t="s">
        <v>1312</v>
      </c>
      <c r="L284" s="2"/>
      <c r="M284" s="2"/>
      <c r="N284" s="2"/>
      <c r="O284" s="2"/>
      <c r="P284" s="2"/>
      <c r="Q284" s="2"/>
      <c r="R284" s="2"/>
      <c r="S284" s="2"/>
      <c r="T284" s="2" t="s">
        <v>2080</v>
      </c>
    </row>
    <row r="285" spans="1:20" ht="30" hidden="1" x14ac:dyDescent="0.25">
      <c r="A285" t="str">
        <f>INDEX('Orig (V1_BCK)'!$C:$C,MATCH($B285,'Orig (V1_BCK)'!$C:$C,0),1)</f>
        <v>L4314652-L4314652-</v>
      </c>
      <c r="B285" s="3" t="str">
        <f t="shared" si="4"/>
        <v>L4314652-L4314652-</v>
      </c>
      <c r="C285" s="2" t="s">
        <v>27</v>
      </c>
      <c r="D285" s="2" t="s">
        <v>28</v>
      </c>
      <c r="E285" s="2" t="s">
        <v>29</v>
      </c>
      <c r="F285" s="2" t="s">
        <v>30</v>
      </c>
      <c r="G285" s="2" t="s">
        <v>2044</v>
      </c>
      <c r="H285" s="2" t="s">
        <v>31</v>
      </c>
      <c r="I285" s="2" t="s">
        <v>27</v>
      </c>
      <c r="J285" s="2"/>
      <c r="K285" s="2" t="s">
        <v>2045</v>
      </c>
      <c r="L285" s="2" t="s">
        <v>28</v>
      </c>
      <c r="M285" s="2"/>
      <c r="N285" s="2" t="s">
        <v>29</v>
      </c>
      <c r="O285" s="2"/>
      <c r="P285" s="2" t="s">
        <v>30</v>
      </c>
      <c r="Q285" s="2"/>
      <c r="R285" s="2"/>
      <c r="S285" s="2"/>
      <c r="T285" s="2" t="s">
        <v>2046</v>
      </c>
    </row>
    <row r="286" spans="1:20" ht="30" hidden="1" x14ac:dyDescent="0.25">
      <c r="A286" t="e">
        <f>INDEX('Orig (V1_BCK)'!$C:$C,MATCH($B286,'Orig (V1_BCK)'!$C:$C,0),1)</f>
        <v>#N/A</v>
      </c>
      <c r="B286" s="3" t="str">
        <f t="shared" si="4"/>
        <v>L4595236--</v>
      </c>
      <c r="C286" s="2" t="s">
        <v>1967</v>
      </c>
      <c r="D286" s="2" t="s">
        <v>197</v>
      </c>
      <c r="E286" s="2" t="s">
        <v>1968</v>
      </c>
      <c r="F286" s="2" t="s">
        <v>1969</v>
      </c>
      <c r="G286" s="2" t="s">
        <v>2612</v>
      </c>
      <c r="H286" s="2" t="s">
        <v>1970</v>
      </c>
      <c r="I286" s="2"/>
      <c r="J286" s="2"/>
      <c r="K286" s="2" t="s">
        <v>1312</v>
      </c>
      <c r="L286" s="2"/>
      <c r="M286" s="2"/>
      <c r="N286" s="2"/>
      <c r="O286" s="2"/>
      <c r="P286" s="2"/>
      <c r="Q286" s="2"/>
      <c r="R286" s="2"/>
      <c r="S286" s="2"/>
      <c r="T286" s="2" t="s">
        <v>2080</v>
      </c>
    </row>
    <row r="287" spans="1:20" hidden="1" x14ac:dyDescent="0.25">
      <c r="A287" t="str">
        <f>INDEX('Orig (V1_BCK)'!$C:$C,MATCH($B287,'Orig (V1_BCK)'!$C:$C,0),1)</f>
        <v>L4660562-L4660562-</v>
      </c>
      <c r="B287" s="3" t="str">
        <f t="shared" si="4"/>
        <v>L4660562-L4660562-</v>
      </c>
      <c r="C287" s="2" t="s">
        <v>735</v>
      </c>
      <c r="D287" s="2" t="s">
        <v>197</v>
      </c>
      <c r="E287" s="2" t="s">
        <v>736</v>
      </c>
      <c r="F287" s="2" t="s">
        <v>704</v>
      </c>
      <c r="G287" s="2" t="s">
        <v>2197</v>
      </c>
      <c r="H287" s="2" t="s">
        <v>737</v>
      </c>
      <c r="I287" s="2" t="s">
        <v>735</v>
      </c>
      <c r="J287" s="2"/>
      <c r="K287" s="2" t="s">
        <v>2198</v>
      </c>
      <c r="L287" s="2" t="s">
        <v>197</v>
      </c>
      <c r="M287" s="2"/>
      <c r="N287" s="2" t="s">
        <v>736</v>
      </c>
      <c r="O287" s="2"/>
      <c r="P287" s="2" t="s">
        <v>704</v>
      </c>
      <c r="Q287" s="2"/>
      <c r="R287" s="2"/>
      <c r="S287" s="2"/>
      <c r="T287" s="2" t="s">
        <v>2038</v>
      </c>
    </row>
    <row r="288" spans="1:20" ht="30" hidden="1" x14ac:dyDescent="0.25">
      <c r="A288" t="str">
        <f>INDEX('Orig (V1_BCK)'!$C:$C,MATCH($B288,'Orig (V1_BCK)'!$C:$C,0),1)</f>
        <v>L5233121-L5233121-</v>
      </c>
      <c r="B288" s="3" t="str">
        <f t="shared" si="4"/>
        <v>L5233121-L5233121-</v>
      </c>
      <c r="C288" s="2" t="s">
        <v>702</v>
      </c>
      <c r="D288" s="2" t="s">
        <v>703</v>
      </c>
      <c r="E288" s="2" t="s">
        <v>704</v>
      </c>
      <c r="F288" s="2" t="s">
        <v>705</v>
      </c>
      <c r="G288" s="2" t="s">
        <v>2184</v>
      </c>
      <c r="H288" s="2" t="s">
        <v>706</v>
      </c>
      <c r="I288" s="2" t="s">
        <v>702</v>
      </c>
      <c r="J288" s="2"/>
      <c r="K288" s="2" t="s">
        <v>2185</v>
      </c>
      <c r="L288" s="2" t="s">
        <v>703</v>
      </c>
      <c r="M288" s="2"/>
      <c r="N288" s="2" t="s">
        <v>704</v>
      </c>
      <c r="O288" s="2"/>
      <c r="P288" s="2" t="s">
        <v>705</v>
      </c>
      <c r="Q288" s="2"/>
      <c r="R288" s="2"/>
      <c r="S288" s="2"/>
      <c r="T288" s="2" t="s">
        <v>2080</v>
      </c>
    </row>
    <row r="289" spans="1:20" ht="30" hidden="1" x14ac:dyDescent="0.25">
      <c r="A289" t="str">
        <f>INDEX('Orig (V1_BCK)'!$C:$C,MATCH($B289,'Orig (V1_BCK)'!$C:$C,0),1)</f>
        <v>L6086924--</v>
      </c>
      <c r="B289" s="3" t="str">
        <f t="shared" si="4"/>
        <v>L6086924--</v>
      </c>
      <c r="C289" s="2" t="s">
        <v>1106</v>
      </c>
      <c r="D289" s="2" t="s">
        <v>1107</v>
      </c>
      <c r="E289" s="2" t="s">
        <v>29</v>
      </c>
      <c r="F289" s="2" t="s">
        <v>44</v>
      </c>
      <c r="G289" s="2" t="s">
        <v>2349</v>
      </c>
      <c r="H289" s="2" t="s">
        <v>1108</v>
      </c>
      <c r="I289" s="2"/>
      <c r="J289" s="2"/>
      <c r="K289" s="2" t="s">
        <v>2350</v>
      </c>
      <c r="L289" s="2"/>
      <c r="M289" s="2"/>
      <c r="N289" s="2"/>
      <c r="O289" s="2"/>
      <c r="P289" s="2"/>
      <c r="Q289" s="2"/>
      <c r="R289" s="2"/>
      <c r="S289" s="2"/>
      <c r="T289" s="2" t="s">
        <v>2080</v>
      </c>
    </row>
    <row r="290" spans="1:20" ht="30" hidden="1" x14ac:dyDescent="0.25">
      <c r="A290" t="e">
        <f>INDEX('Orig (V1_BCK)'!$C:$C,MATCH($B290,'Orig (V1_BCK)'!$C:$C,0),1)</f>
        <v>#N/A</v>
      </c>
      <c r="B290" s="3" t="str">
        <f t="shared" si="4"/>
        <v>L6727773--</v>
      </c>
      <c r="C290" s="2" t="s">
        <v>1237</v>
      </c>
      <c r="D290" s="2" t="s">
        <v>135</v>
      </c>
      <c r="E290" s="2" t="s">
        <v>1238</v>
      </c>
      <c r="F290" s="2" t="s">
        <v>74</v>
      </c>
      <c r="G290" s="2" t="s">
        <v>2444</v>
      </c>
      <c r="H290" s="2" t="s">
        <v>1402</v>
      </c>
      <c r="I290" s="2"/>
      <c r="J290" s="2"/>
      <c r="K290" s="2" t="s">
        <v>1312</v>
      </c>
      <c r="L290" s="2"/>
      <c r="M290" s="2"/>
      <c r="N290" s="2"/>
      <c r="O290" s="2"/>
      <c r="P290" s="2"/>
      <c r="Q290" s="2"/>
      <c r="R290" s="2"/>
      <c r="S290" s="2"/>
      <c r="T290" s="2" t="s">
        <v>2080</v>
      </c>
    </row>
    <row r="291" spans="1:20" hidden="1" x14ac:dyDescent="0.25">
      <c r="A291" t="str">
        <f>INDEX('Orig (V1_BCK)'!$C:$C,MATCH($B291,'Orig (V1_BCK)'!$C:$C,0),1)</f>
        <v>L7371274--J1842217</v>
      </c>
      <c r="B291" s="3" t="str">
        <f t="shared" si="4"/>
        <v>L7371274--J1842217</v>
      </c>
      <c r="C291" s="2" t="s">
        <v>453</v>
      </c>
      <c r="D291" s="2" t="s">
        <v>454</v>
      </c>
      <c r="E291" s="2" t="s">
        <v>455</v>
      </c>
      <c r="F291" s="2" t="s">
        <v>29</v>
      </c>
      <c r="G291" s="2" t="s">
        <v>2086</v>
      </c>
      <c r="H291" s="2" t="s">
        <v>456</v>
      </c>
      <c r="I291" s="2"/>
      <c r="J291" s="2" t="s">
        <v>457</v>
      </c>
      <c r="K291" s="2" t="s">
        <v>2087</v>
      </c>
      <c r="L291" s="2"/>
      <c r="M291" s="2" t="s">
        <v>458</v>
      </c>
      <c r="N291" s="2"/>
      <c r="O291" s="2" t="s">
        <v>459</v>
      </c>
      <c r="P291" s="2"/>
      <c r="Q291" s="2" t="s">
        <v>460</v>
      </c>
      <c r="R291" s="2"/>
      <c r="S291" s="2"/>
      <c r="T291" s="2" t="s">
        <v>2083</v>
      </c>
    </row>
    <row r="292" spans="1:20" ht="30" hidden="1" x14ac:dyDescent="0.25">
      <c r="A292" t="str">
        <f>INDEX('Orig (V1_BCK)'!$C:$C,MATCH($B292,'Orig (V1_BCK)'!$C:$C,0),1)</f>
        <v>L7481817--R5955364</v>
      </c>
      <c r="B292" s="3" t="str">
        <f t="shared" si="4"/>
        <v>L7481817--R5955364</v>
      </c>
      <c r="C292" s="2" t="s">
        <v>629</v>
      </c>
      <c r="D292" s="2" t="s">
        <v>28</v>
      </c>
      <c r="E292" s="2" t="s">
        <v>515</v>
      </c>
      <c r="F292" s="2" t="s">
        <v>557</v>
      </c>
      <c r="G292" s="2" t="s">
        <v>2160</v>
      </c>
      <c r="H292" s="2" t="s">
        <v>630</v>
      </c>
      <c r="I292" s="2"/>
      <c r="J292" s="2" t="s">
        <v>631</v>
      </c>
      <c r="K292" s="2" t="s">
        <v>2161</v>
      </c>
      <c r="L292" s="2"/>
      <c r="M292" s="2" t="s">
        <v>632</v>
      </c>
      <c r="N292" s="2"/>
      <c r="O292" s="2" t="s">
        <v>633</v>
      </c>
      <c r="P292" s="2"/>
      <c r="Q292" s="2" t="s">
        <v>634</v>
      </c>
      <c r="R292" s="2"/>
      <c r="S292" s="2"/>
      <c r="T292" s="2" t="s">
        <v>2071</v>
      </c>
    </row>
    <row r="293" spans="1:20" ht="30" hidden="1" x14ac:dyDescent="0.25">
      <c r="A293" t="str">
        <f>INDEX('Orig (V1_BCK)'!$C:$C,MATCH($B293,'Orig (V1_BCK)'!$C:$C,0),1)</f>
        <v>L7514498-L7514498-</v>
      </c>
      <c r="B293" s="3" t="str">
        <f t="shared" si="4"/>
        <v>L7514498-L7514498-</v>
      </c>
      <c r="C293" s="2" t="s">
        <v>751</v>
      </c>
      <c r="D293" s="2" t="s">
        <v>197</v>
      </c>
      <c r="E293" s="2" t="s">
        <v>752</v>
      </c>
      <c r="F293" s="2" t="s">
        <v>753</v>
      </c>
      <c r="G293" s="2" t="s">
        <v>2204</v>
      </c>
      <c r="H293" s="2" t="s">
        <v>754</v>
      </c>
      <c r="I293" s="2" t="s">
        <v>751</v>
      </c>
      <c r="J293" s="2"/>
      <c r="K293" s="2" t="s">
        <v>2205</v>
      </c>
      <c r="L293" s="2" t="s">
        <v>197</v>
      </c>
      <c r="M293" s="2"/>
      <c r="N293" s="2" t="s">
        <v>752</v>
      </c>
      <c r="O293" s="2"/>
      <c r="P293" s="2" t="s">
        <v>753</v>
      </c>
      <c r="Q293" s="2"/>
      <c r="R293" s="2"/>
      <c r="S293" s="2"/>
      <c r="T293" s="2" t="s">
        <v>47</v>
      </c>
    </row>
    <row r="294" spans="1:20" s="7" customFormat="1" ht="30" hidden="1" x14ac:dyDescent="0.25">
      <c r="A294" s="4" t="e">
        <f>INDEX('Orig (V1_BCK)'!$C:$C,MATCH($B294,'Orig (V1_BCK)'!$C:$C,0),1)</f>
        <v>#N/A</v>
      </c>
      <c r="B294" s="5" t="str">
        <f t="shared" si="4"/>
        <v>L7848373--</v>
      </c>
      <c r="C294" s="6" t="s">
        <v>479</v>
      </c>
      <c r="D294" s="6" t="s">
        <v>197</v>
      </c>
      <c r="E294" s="6" t="s">
        <v>11</v>
      </c>
      <c r="F294" s="6" t="s">
        <v>480</v>
      </c>
      <c r="G294" s="6" t="s">
        <v>2095</v>
      </c>
      <c r="H294" s="6" t="s">
        <v>481</v>
      </c>
      <c r="I294" s="6"/>
      <c r="J294" s="6"/>
      <c r="K294" s="6" t="s">
        <v>2096</v>
      </c>
      <c r="L294" s="6"/>
      <c r="M294" s="6"/>
      <c r="N294" s="6"/>
      <c r="O294" s="6"/>
      <c r="P294" s="6"/>
      <c r="Q294" s="6"/>
      <c r="R294" s="6"/>
      <c r="S294" s="6"/>
      <c r="T294" s="6" t="s">
        <v>2080</v>
      </c>
    </row>
    <row r="295" spans="1:20" ht="45" hidden="1" x14ac:dyDescent="0.25">
      <c r="A295" t="e">
        <f>INDEX('Orig (V1_BCK)'!$C:$C,MATCH($B295,'Orig (V1_BCK)'!$C:$C,0),1)</f>
        <v>#N/A</v>
      </c>
      <c r="B295" s="3" t="str">
        <f t="shared" si="4"/>
        <v>L8054605--</v>
      </c>
      <c r="C295" s="2" t="s">
        <v>1852</v>
      </c>
      <c r="D295" s="2" t="s">
        <v>1853</v>
      </c>
      <c r="E295" s="2" t="s">
        <v>1854</v>
      </c>
      <c r="F295" s="2" t="s">
        <v>1855</v>
      </c>
      <c r="G295" s="2" t="s">
        <v>2579</v>
      </c>
      <c r="H295" s="2" t="s">
        <v>1856</v>
      </c>
      <c r="I295" s="2"/>
      <c r="J295" s="2"/>
      <c r="K295" s="2" t="s">
        <v>1312</v>
      </c>
      <c r="L295" s="2"/>
      <c r="M295" s="2"/>
      <c r="N295" s="2"/>
      <c r="O295" s="2"/>
      <c r="P295" s="2"/>
      <c r="Q295" s="2"/>
      <c r="R295" s="2"/>
      <c r="S295" s="2"/>
      <c r="T295" s="2" t="s">
        <v>2041</v>
      </c>
    </row>
    <row r="296" spans="1:20" ht="45" hidden="1" x14ac:dyDescent="0.25">
      <c r="A296" t="e">
        <f>INDEX('Orig (V1_BCK)'!$C:$C,MATCH($B296,'Orig (V1_BCK)'!$C:$C,0),1)</f>
        <v>#N/A</v>
      </c>
      <c r="B296" s="3" t="str">
        <f t="shared" si="4"/>
        <v>L9818763--</v>
      </c>
      <c r="C296" s="2" t="s">
        <v>1336</v>
      </c>
      <c r="D296" s="2" t="s">
        <v>1337</v>
      </c>
      <c r="E296" s="2" t="s">
        <v>1338</v>
      </c>
      <c r="F296" s="2" t="s">
        <v>1174</v>
      </c>
      <c r="G296" s="2" t="s">
        <v>2421</v>
      </c>
      <c r="H296" s="2" t="s">
        <v>1339</v>
      </c>
      <c r="I296" s="2"/>
      <c r="J296" s="2"/>
      <c r="K296" s="2" t="s">
        <v>1312</v>
      </c>
      <c r="L296" s="2"/>
      <c r="M296" s="2"/>
      <c r="N296" s="2"/>
      <c r="O296" s="2"/>
      <c r="P296" s="2"/>
      <c r="Q296" s="2"/>
      <c r="R296" s="2"/>
      <c r="S296" s="2"/>
      <c r="T296" s="2" t="s">
        <v>2038</v>
      </c>
    </row>
    <row r="297" spans="1:20" ht="30" hidden="1" x14ac:dyDescent="0.25">
      <c r="A297" t="str">
        <f>INDEX('Orig (V1_BCK)'!$C:$C,MATCH($B297,'Orig (V1_BCK)'!$C:$C,0),1)</f>
        <v>M0012709-M0012709-</v>
      </c>
      <c r="B297" s="3" t="str">
        <f t="shared" si="4"/>
        <v>M0012709-M0012709-</v>
      </c>
      <c r="C297" s="2" t="s">
        <v>580</v>
      </c>
      <c r="D297" s="2" t="s">
        <v>19</v>
      </c>
      <c r="E297" s="2" t="s">
        <v>581</v>
      </c>
      <c r="F297" s="2" t="s">
        <v>582</v>
      </c>
      <c r="G297" s="2" t="s">
        <v>2140</v>
      </c>
      <c r="H297" s="2" t="s">
        <v>583</v>
      </c>
      <c r="I297" s="2" t="s">
        <v>580</v>
      </c>
      <c r="J297" s="2"/>
      <c r="K297" s="2" t="s">
        <v>2141</v>
      </c>
      <c r="L297" s="2" t="s">
        <v>19</v>
      </c>
      <c r="M297" s="2"/>
      <c r="N297" s="2" t="s">
        <v>581</v>
      </c>
      <c r="O297" s="2"/>
      <c r="P297" s="2" t="s">
        <v>582</v>
      </c>
      <c r="Q297" s="2"/>
      <c r="R297" s="2"/>
      <c r="S297" s="2"/>
      <c r="T297" s="2" t="s">
        <v>2038</v>
      </c>
    </row>
    <row r="298" spans="1:20" ht="45" hidden="1" x14ac:dyDescent="0.25">
      <c r="A298" t="e">
        <f>INDEX('Orig (V1_BCK)'!$C:$C,MATCH($B298,'Orig (V1_BCK)'!$C:$C,0),1)</f>
        <v>#N/A</v>
      </c>
      <c r="B298" s="3" t="str">
        <f t="shared" si="4"/>
        <v>M0110876--</v>
      </c>
      <c r="C298" s="2" t="s">
        <v>1953</v>
      </c>
      <c r="D298" s="2" t="s">
        <v>568</v>
      </c>
      <c r="E298" s="2" t="s">
        <v>1954</v>
      </c>
      <c r="F298" s="2" t="s">
        <v>101</v>
      </c>
      <c r="G298" s="2" t="s">
        <v>2608</v>
      </c>
      <c r="H298" s="2" t="s">
        <v>1955</v>
      </c>
      <c r="I298" s="2"/>
      <c r="J298" s="2"/>
      <c r="K298" s="2" t="s">
        <v>1312</v>
      </c>
      <c r="L298" s="2"/>
      <c r="M298" s="2"/>
      <c r="N298" s="2"/>
      <c r="O298" s="2"/>
      <c r="P298" s="2"/>
      <c r="Q298" s="2"/>
      <c r="R298" s="2"/>
      <c r="S298" s="2"/>
      <c r="T298" s="2" t="s">
        <v>2041</v>
      </c>
    </row>
    <row r="299" spans="1:20" hidden="1" x14ac:dyDescent="0.25">
      <c r="A299" t="str">
        <f>INDEX('Orig (V1_BCK)'!$C:$C,MATCH($B299,'Orig (V1_BCK)'!$C:$C,0),1)</f>
        <v>M0144876--V2068289</v>
      </c>
      <c r="B299" s="3" t="str">
        <f t="shared" si="4"/>
        <v>M0144876--V2068289</v>
      </c>
      <c r="C299" s="2" t="s">
        <v>728</v>
      </c>
      <c r="D299" s="2" t="s">
        <v>729</v>
      </c>
      <c r="E299" s="2" t="s">
        <v>730</v>
      </c>
      <c r="F299" s="2" t="s">
        <v>731</v>
      </c>
      <c r="G299" s="2" t="s">
        <v>2195</v>
      </c>
      <c r="H299" s="2" t="s">
        <v>2195</v>
      </c>
      <c r="I299" s="2"/>
      <c r="J299" s="2" t="s">
        <v>732</v>
      </c>
      <c r="K299" s="2" t="s">
        <v>2196</v>
      </c>
      <c r="L299" s="2"/>
      <c r="M299" s="2" t="s">
        <v>60</v>
      </c>
      <c r="N299" s="2"/>
      <c r="O299" s="2" t="s">
        <v>733</v>
      </c>
      <c r="P299" s="2"/>
      <c r="Q299" s="2" t="s">
        <v>734</v>
      </c>
      <c r="R299" s="2"/>
      <c r="S299" s="2"/>
      <c r="T299" s="2" t="s">
        <v>2083</v>
      </c>
    </row>
    <row r="300" spans="1:20" ht="30" hidden="1" x14ac:dyDescent="0.25">
      <c r="A300" t="str">
        <f>INDEX('Orig (V1_BCK)'!$C:$C,MATCH($B300,'Orig (V1_BCK)'!$C:$C,0),1)</f>
        <v>M0348763--I7600760</v>
      </c>
      <c r="B300" s="3" t="str">
        <f t="shared" si="4"/>
        <v>M0348763--I7600760</v>
      </c>
      <c r="C300" s="2" t="s">
        <v>1122</v>
      </c>
      <c r="D300" s="2" t="s">
        <v>1123</v>
      </c>
      <c r="E300" s="2" t="s">
        <v>12</v>
      </c>
      <c r="F300" s="2" t="s">
        <v>1124</v>
      </c>
      <c r="G300" s="2" t="s">
        <v>2356</v>
      </c>
      <c r="H300" s="2" t="s">
        <v>2356</v>
      </c>
      <c r="I300" s="2"/>
      <c r="J300" s="2" t="s">
        <v>822</v>
      </c>
      <c r="K300" s="2" t="s">
        <v>2229</v>
      </c>
      <c r="L300" s="2"/>
      <c r="M300" s="2" t="s">
        <v>823</v>
      </c>
      <c r="N300" s="2"/>
      <c r="O300" s="2" t="s">
        <v>824</v>
      </c>
      <c r="P300" s="2"/>
      <c r="Q300" s="2" t="s">
        <v>825</v>
      </c>
      <c r="R300" s="2"/>
      <c r="S300" s="2"/>
      <c r="T300" s="2" t="s">
        <v>2083</v>
      </c>
    </row>
    <row r="301" spans="1:20" ht="30" hidden="1" x14ac:dyDescent="0.25">
      <c r="A301" t="str">
        <f>INDEX('Orig (V1_BCK)'!$C:$C,MATCH($B301,'Orig (V1_BCK)'!$C:$C,0),1)</f>
        <v>M0543103-M0543103-</v>
      </c>
      <c r="B301" s="3" t="str">
        <f t="shared" si="4"/>
        <v>M0543103-M0543103-</v>
      </c>
      <c r="C301" s="2" t="s">
        <v>713</v>
      </c>
      <c r="D301" s="2" t="s">
        <v>19</v>
      </c>
      <c r="E301" s="2" t="s">
        <v>44</v>
      </c>
      <c r="F301" s="2" t="s">
        <v>714</v>
      </c>
      <c r="G301" s="2" t="s">
        <v>2188</v>
      </c>
      <c r="H301" s="2" t="s">
        <v>715</v>
      </c>
      <c r="I301" s="2" t="s">
        <v>713</v>
      </c>
      <c r="J301" s="2"/>
      <c r="K301" s="2" t="s">
        <v>2189</v>
      </c>
      <c r="L301" s="2" t="s">
        <v>19</v>
      </c>
      <c r="M301" s="2"/>
      <c r="N301" s="2" t="s">
        <v>44</v>
      </c>
      <c r="O301" s="2"/>
      <c r="P301" s="2" t="s">
        <v>714</v>
      </c>
      <c r="Q301" s="2"/>
      <c r="R301" s="2"/>
      <c r="S301" s="2"/>
      <c r="T301" s="2" t="s">
        <v>2038</v>
      </c>
    </row>
    <row r="302" spans="1:20" ht="45" hidden="1" x14ac:dyDescent="0.25">
      <c r="A302" t="e">
        <f>INDEX('Orig (V1_BCK)'!$C:$C,MATCH($B302,'Orig (V1_BCK)'!$C:$C,0),1)</f>
        <v>#N/A</v>
      </c>
      <c r="B302" s="3" t="str">
        <f t="shared" si="4"/>
        <v>M0624836--</v>
      </c>
      <c r="C302" s="2" t="s">
        <v>1989</v>
      </c>
      <c r="D302" s="2" t="s">
        <v>318</v>
      </c>
      <c r="E302" s="2" t="s">
        <v>1990</v>
      </c>
      <c r="F302" s="2" t="s">
        <v>1991</v>
      </c>
      <c r="G302" s="2" t="s">
        <v>2621</v>
      </c>
      <c r="H302" s="2" t="s">
        <v>1992</v>
      </c>
      <c r="I302" s="2"/>
      <c r="J302" s="2"/>
      <c r="K302" s="2" t="s">
        <v>1312</v>
      </c>
      <c r="L302" s="2"/>
      <c r="M302" s="2"/>
      <c r="N302" s="2"/>
      <c r="O302" s="2"/>
      <c r="P302" s="2"/>
      <c r="Q302" s="2"/>
      <c r="R302" s="2"/>
      <c r="S302" s="2"/>
      <c r="T302" s="2" t="s">
        <v>2041</v>
      </c>
    </row>
    <row r="303" spans="1:20" hidden="1" x14ac:dyDescent="0.25">
      <c r="A303" t="str">
        <f>INDEX('Orig (V1_BCK)'!$C:$C,MATCH($B303,'Orig (V1_BCK)'!$C:$C,0),1)</f>
        <v>M0656003-M0656003-</v>
      </c>
      <c r="B303" s="3" t="str">
        <f t="shared" si="4"/>
        <v>M0656003-M0656003-</v>
      </c>
      <c r="C303" s="2" t="s">
        <v>544</v>
      </c>
      <c r="D303" s="2" t="s">
        <v>191</v>
      </c>
      <c r="E303" s="2" t="s">
        <v>545</v>
      </c>
      <c r="F303" s="2" t="s">
        <v>546</v>
      </c>
      <c r="G303" s="2" t="s">
        <v>2123</v>
      </c>
      <c r="H303" s="2" t="s">
        <v>547</v>
      </c>
      <c r="I303" s="2" t="s">
        <v>544</v>
      </c>
      <c r="J303" s="2"/>
      <c r="K303" s="2" t="s">
        <v>2124</v>
      </c>
      <c r="L303" s="2" t="s">
        <v>191</v>
      </c>
      <c r="M303" s="2"/>
      <c r="N303" s="2" t="s">
        <v>545</v>
      </c>
      <c r="O303" s="2"/>
      <c r="P303" s="2" t="s">
        <v>546</v>
      </c>
      <c r="Q303" s="2"/>
      <c r="R303" s="2"/>
      <c r="S303" s="2"/>
      <c r="T303" s="2" t="s">
        <v>2071</v>
      </c>
    </row>
    <row r="304" spans="1:20" ht="45" hidden="1" x14ac:dyDescent="0.25">
      <c r="A304" t="e">
        <f>INDEX('Orig (V1_BCK)'!$C:$C,MATCH($B304,'Orig (V1_BCK)'!$C:$C,0),1)</f>
        <v>#N/A</v>
      </c>
      <c r="B304" s="3" t="str">
        <f t="shared" si="4"/>
        <v>M0766968--</v>
      </c>
      <c r="C304" s="2" t="s">
        <v>1801</v>
      </c>
      <c r="D304" s="2" t="s">
        <v>92</v>
      </c>
      <c r="E304" s="2" t="s">
        <v>29</v>
      </c>
      <c r="F304" s="2" t="s">
        <v>1802</v>
      </c>
      <c r="G304" s="2" t="s">
        <v>2561</v>
      </c>
      <c r="H304" s="2" t="s">
        <v>1803</v>
      </c>
      <c r="I304" s="2"/>
      <c r="J304" s="2"/>
      <c r="K304" s="2" t="s">
        <v>1312</v>
      </c>
      <c r="L304" s="2"/>
      <c r="M304" s="2"/>
      <c r="N304" s="2"/>
      <c r="O304" s="2"/>
      <c r="P304" s="2"/>
      <c r="Q304" s="2"/>
      <c r="R304" s="2"/>
      <c r="S304" s="2"/>
      <c r="T304" s="2" t="s">
        <v>2041</v>
      </c>
    </row>
    <row r="305" spans="1:20" hidden="1" x14ac:dyDescent="0.25">
      <c r="A305" t="str">
        <f>INDEX('Orig (V1_BCK)'!$C:$C,MATCH($B305,'Orig (V1_BCK)'!$C:$C,0),1)</f>
        <v>M1155913--I7600760</v>
      </c>
      <c r="B305" s="3" t="str">
        <f t="shared" si="4"/>
        <v>M1155913--I7600760</v>
      </c>
      <c r="C305" s="2" t="s">
        <v>868</v>
      </c>
      <c r="D305" s="2" t="s">
        <v>6</v>
      </c>
      <c r="E305" s="2" t="s">
        <v>798</v>
      </c>
      <c r="F305" s="2" t="s">
        <v>869</v>
      </c>
      <c r="G305" s="2" t="s">
        <v>2240</v>
      </c>
      <c r="H305" s="2" t="s">
        <v>870</v>
      </c>
      <c r="I305" s="2"/>
      <c r="J305" s="2" t="s">
        <v>822</v>
      </c>
      <c r="K305" s="2" t="s">
        <v>2229</v>
      </c>
      <c r="L305" s="2"/>
      <c r="M305" s="2" t="s">
        <v>823</v>
      </c>
      <c r="N305" s="2"/>
      <c r="O305" s="2" t="s">
        <v>824</v>
      </c>
      <c r="P305" s="2"/>
      <c r="Q305" s="2" t="s">
        <v>825</v>
      </c>
      <c r="R305" s="2"/>
      <c r="S305" s="2"/>
      <c r="T305" s="2" t="s">
        <v>2083</v>
      </c>
    </row>
    <row r="306" spans="1:20" ht="30" hidden="1" x14ac:dyDescent="0.25">
      <c r="A306" t="str">
        <f>INDEX('Orig (V1_BCK)'!$C:$C,MATCH($B306,'Orig (V1_BCK)'!$C:$C,0),1)</f>
        <v>M1243839-M1243839-</v>
      </c>
      <c r="B306" s="3" t="str">
        <f t="shared" si="4"/>
        <v>M1243839-M1243839-</v>
      </c>
      <c r="C306" s="2" t="s">
        <v>891</v>
      </c>
      <c r="D306" s="2" t="s">
        <v>892</v>
      </c>
      <c r="E306" s="2" t="s">
        <v>125</v>
      </c>
      <c r="F306" s="2" t="s">
        <v>74</v>
      </c>
      <c r="G306" s="2" t="s">
        <v>2249</v>
      </c>
      <c r="H306" s="2" t="s">
        <v>893</v>
      </c>
      <c r="I306" s="2" t="s">
        <v>891</v>
      </c>
      <c r="J306" s="2"/>
      <c r="K306" s="2" t="s">
        <v>2250</v>
      </c>
      <c r="L306" s="2" t="s">
        <v>892</v>
      </c>
      <c r="M306" s="2"/>
      <c r="N306" s="2" t="s">
        <v>125</v>
      </c>
      <c r="O306" s="2"/>
      <c r="P306" s="2" t="s">
        <v>74</v>
      </c>
      <c r="Q306" s="2"/>
      <c r="R306" s="2"/>
      <c r="S306" s="2"/>
      <c r="T306" s="2" t="s">
        <v>47</v>
      </c>
    </row>
    <row r="307" spans="1:20" hidden="1" x14ac:dyDescent="0.25">
      <c r="A307" t="e">
        <f>INDEX('Orig (V1_BCK)'!$C:$C,MATCH($B307,'Orig (V1_BCK)'!$C:$C,0),1)</f>
        <v>#N/A</v>
      </c>
      <c r="B307" s="3" t="str">
        <f t="shared" si="4"/>
        <v>M1313540--</v>
      </c>
      <c r="C307" s="2" t="s">
        <v>1682</v>
      </c>
      <c r="D307" s="2" t="s">
        <v>568</v>
      </c>
      <c r="E307" s="2" t="s">
        <v>1452</v>
      </c>
      <c r="F307" s="2" t="s">
        <v>1683</v>
      </c>
      <c r="G307" s="2" t="s">
        <v>2527</v>
      </c>
      <c r="H307" s="2" t="s">
        <v>1684</v>
      </c>
      <c r="I307" s="2"/>
      <c r="J307" s="2"/>
      <c r="K307" s="2" t="s">
        <v>1312</v>
      </c>
      <c r="L307" s="2"/>
      <c r="M307" s="2"/>
      <c r="N307" s="2"/>
      <c r="O307" s="2"/>
      <c r="P307" s="2"/>
      <c r="Q307" s="2"/>
      <c r="R307" s="2"/>
      <c r="S307" s="2"/>
      <c r="T307" s="2" t="s">
        <v>2041</v>
      </c>
    </row>
    <row r="308" spans="1:20" ht="45" hidden="1" x14ac:dyDescent="0.25">
      <c r="A308" t="e">
        <f>INDEX('Orig (V1_BCK)'!$C:$C,MATCH($B308,'Orig (V1_BCK)'!$C:$C,0),1)</f>
        <v>#N/A</v>
      </c>
      <c r="B308" s="3" t="str">
        <f t="shared" si="4"/>
        <v>M1316939--</v>
      </c>
      <c r="C308" s="2" t="s">
        <v>1820</v>
      </c>
      <c r="D308" s="2" t="s">
        <v>1218</v>
      </c>
      <c r="E308" s="2" t="s">
        <v>29</v>
      </c>
      <c r="F308" s="2" t="s">
        <v>1821</v>
      </c>
      <c r="G308" s="2" t="s">
        <v>2567</v>
      </c>
      <c r="H308" s="2" t="s">
        <v>1822</v>
      </c>
      <c r="I308" s="2"/>
      <c r="J308" s="2"/>
      <c r="K308" s="2" t="s">
        <v>1312</v>
      </c>
      <c r="L308" s="2"/>
      <c r="M308" s="2"/>
      <c r="N308" s="2"/>
      <c r="O308" s="2"/>
      <c r="P308" s="2"/>
      <c r="Q308" s="2"/>
      <c r="R308" s="2"/>
      <c r="S308" s="2"/>
      <c r="T308" s="2" t="s">
        <v>2041</v>
      </c>
    </row>
    <row r="309" spans="1:20" hidden="1" x14ac:dyDescent="0.25">
      <c r="A309" t="str">
        <f>INDEX('Orig (V1_BCK)'!$C:$C,MATCH($B309,'Orig (V1_BCK)'!$C:$C,0),1)</f>
        <v>M1426435--J1842217</v>
      </c>
      <c r="B309" s="3" t="str">
        <f t="shared" si="4"/>
        <v>M1426435--J1842217</v>
      </c>
      <c r="C309" s="2" t="s">
        <v>571</v>
      </c>
      <c r="D309" s="2" t="s">
        <v>92</v>
      </c>
      <c r="E309" s="2" t="s">
        <v>572</v>
      </c>
      <c r="F309" s="2" t="s">
        <v>573</v>
      </c>
      <c r="G309" s="2" t="s">
        <v>2137</v>
      </c>
      <c r="H309" s="2" t="s">
        <v>574</v>
      </c>
      <c r="I309" s="2"/>
      <c r="J309" s="2" t="s">
        <v>457</v>
      </c>
      <c r="K309" s="2" t="s">
        <v>2087</v>
      </c>
      <c r="L309" s="2"/>
      <c r="M309" s="2" t="s">
        <v>458</v>
      </c>
      <c r="N309" s="2"/>
      <c r="O309" s="2" t="s">
        <v>459</v>
      </c>
      <c r="P309" s="2"/>
      <c r="Q309" s="2" t="s">
        <v>460</v>
      </c>
      <c r="R309" s="2"/>
      <c r="S309" s="2"/>
      <c r="T309" s="2" t="s">
        <v>2083</v>
      </c>
    </row>
    <row r="310" spans="1:20" ht="30" hidden="1" x14ac:dyDescent="0.25">
      <c r="A310" t="e">
        <f>INDEX('Orig (V1_BCK)'!$C:$C,MATCH($B310,'Orig (V1_BCK)'!$C:$C,0),1)</f>
        <v>#N/A</v>
      </c>
      <c r="B310" s="3" t="str">
        <f t="shared" si="4"/>
        <v>M1541024--</v>
      </c>
      <c r="C310" s="2" t="s">
        <v>1984</v>
      </c>
      <c r="D310" s="2" t="s">
        <v>729</v>
      </c>
      <c r="E310" s="2" t="s">
        <v>810</v>
      </c>
      <c r="F310" s="2" t="s">
        <v>11</v>
      </c>
      <c r="G310" s="2" t="s">
        <v>2618</v>
      </c>
      <c r="H310" s="2" t="s">
        <v>1985</v>
      </c>
      <c r="I310" s="2"/>
      <c r="J310" s="2"/>
      <c r="K310" s="2" t="s">
        <v>1312</v>
      </c>
      <c r="L310" s="2"/>
      <c r="M310" s="2"/>
      <c r="N310" s="2"/>
      <c r="O310" s="2"/>
      <c r="P310" s="2"/>
      <c r="Q310" s="2"/>
      <c r="R310" s="2"/>
      <c r="S310" s="2"/>
      <c r="T310" s="2" t="s">
        <v>2038</v>
      </c>
    </row>
    <row r="311" spans="1:20" ht="45" hidden="1" x14ac:dyDescent="0.25">
      <c r="A311" t="e">
        <f>INDEX('Orig (V1_BCK)'!$C:$C,MATCH($B311,'Orig (V1_BCK)'!$C:$C,0),1)</f>
        <v>#N/A</v>
      </c>
      <c r="B311" s="3" t="str">
        <f t="shared" si="4"/>
        <v>M1968809--</v>
      </c>
      <c r="C311" s="2" t="s">
        <v>1742</v>
      </c>
      <c r="D311" s="2" t="s">
        <v>1408</v>
      </c>
      <c r="E311" s="2" t="s">
        <v>1743</v>
      </c>
      <c r="F311" s="2" t="s">
        <v>44</v>
      </c>
      <c r="G311" s="2" t="s">
        <v>2545</v>
      </c>
      <c r="H311" s="2" t="s">
        <v>1744</v>
      </c>
      <c r="I311" s="2"/>
      <c r="J311" s="2"/>
      <c r="K311" s="2" t="s">
        <v>1312</v>
      </c>
      <c r="L311" s="2"/>
      <c r="M311" s="2"/>
      <c r="N311" s="2"/>
      <c r="O311" s="2"/>
      <c r="P311" s="2"/>
      <c r="Q311" s="2"/>
      <c r="R311" s="2"/>
      <c r="S311" s="2"/>
      <c r="T311" s="2" t="s">
        <v>2041</v>
      </c>
    </row>
    <row r="312" spans="1:20" ht="45" hidden="1" x14ac:dyDescent="0.25">
      <c r="A312" t="e">
        <f>INDEX('Orig (V1_BCK)'!$C:$C,MATCH($B312,'Orig (V1_BCK)'!$C:$C,0),1)</f>
        <v>#N/A</v>
      </c>
      <c r="B312" s="3" t="str">
        <f t="shared" si="4"/>
        <v>M2229541--</v>
      </c>
      <c r="C312" s="2" t="s">
        <v>1601</v>
      </c>
      <c r="D312" s="2" t="s">
        <v>92</v>
      </c>
      <c r="E312" s="2" t="s">
        <v>29</v>
      </c>
      <c r="F312" s="2" t="s">
        <v>712</v>
      </c>
      <c r="G312" s="2" t="s">
        <v>2503</v>
      </c>
      <c r="H312" s="2" t="s">
        <v>1602</v>
      </c>
      <c r="I312" s="2"/>
      <c r="J312" s="2"/>
      <c r="K312" s="2" t="s">
        <v>1312</v>
      </c>
      <c r="L312" s="2"/>
      <c r="M312" s="2"/>
      <c r="N312" s="2"/>
      <c r="O312" s="2"/>
      <c r="P312" s="2"/>
      <c r="Q312" s="2"/>
      <c r="R312" s="2"/>
      <c r="S312" s="2"/>
      <c r="T312" s="2" t="s">
        <v>2083</v>
      </c>
    </row>
    <row r="313" spans="1:20" ht="45" hidden="1" x14ac:dyDescent="0.25">
      <c r="A313" t="e">
        <f>INDEX('Orig (V1_BCK)'!$C:$C,MATCH($B313,'Orig (V1_BCK)'!$C:$C,0),1)</f>
        <v>#N/A</v>
      </c>
      <c r="B313" s="3" t="str">
        <f t="shared" si="4"/>
        <v>M2297592--</v>
      </c>
      <c r="C313" s="2" t="s">
        <v>1872</v>
      </c>
      <c r="D313" s="2" t="s">
        <v>1873</v>
      </c>
      <c r="E313" s="2" t="s">
        <v>1231</v>
      </c>
      <c r="F313" s="2" t="s">
        <v>1874</v>
      </c>
      <c r="G313" s="2" t="s">
        <v>2584</v>
      </c>
      <c r="H313" s="2" t="s">
        <v>1875</v>
      </c>
      <c r="I313" s="2"/>
      <c r="J313" s="2"/>
      <c r="K313" s="2" t="s">
        <v>1312</v>
      </c>
      <c r="L313" s="2"/>
      <c r="M313" s="2"/>
      <c r="N313" s="2"/>
      <c r="O313" s="2"/>
      <c r="P313" s="2"/>
      <c r="Q313" s="2"/>
      <c r="R313" s="2"/>
      <c r="S313" s="2"/>
      <c r="T313" s="2" t="s">
        <v>2041</v>
      </c>
    </row>
    <row r="314" spans="1:20" ht="30" hidden="1" x14ac:dyDescent="0.25">
      <c r="A314" t="e">
        <f>INDEX('Orig (V1_BCK)'!$C:$C,MATCH($B314,'Orig (V1_BCK)'!$C:$C,0),1)</f>
        <v>#N/A</v>
      </c>
      <c r="B314" s="3" t="str">
        <f t="shared" si="4"/>
        <v>M2472195--</v>
      </c>
      <c r="C314" s="2" t="s">
        <v>1351</v>
      </c>
      <c r="D314" s="2" t="s">
        <v>19</v>
      </c>
      <c r="E314" s="2" t="s">
        <v>700</v>
      </c>
      <c r="F314" s="2" t="s">
        <v>1352</v>
      </c>
      <c r="G314" s="2" t="s">
        <v>2425</v>
      </c>
      <c r="H314" s="2" t="s">
        <v>1353</v>
      </c>
      <c r="I314" s="2"/>
      <c r="J314" s="2"/>
      <c r="K314" s="2" t="s">
        <v>1312</v>
      </c>
      <c r="L314" s="2"/>
      <c r="M314" s="2"/>
      <c r="N314" s="2"/>
      <c r="O314" s="2"/>
      <c r="P314" s="2"/>
      <c r="Q314" s="2"/>
      <c r="R314" s="2"/>
      <c r="S314" s="2"/>
      <c r="T314" s="2" t="s">
        <v>2426</v>
      </c>
    </row>
    <row r="315" spans="1:20" ht="30" hidden="1" x14ac:dyDescent="0.25">
      <c r="A315" t="str">
        <f>INDEX('Orig (V1_BCK)'!$C:$C,MATCH($B315,'Orig (V1_BCK)'!$C:$C,0),1)</f>
        <v>M2662009--I6825354</v>
      </c>
      <c r="B315" s="3" t="str">
        <f t="shared" si="4"/>
        <v>M2662009--I6825354</v>
      </c>
      <c r="C315" s="2" t="s">
        <v>509</v>
      </c>
      <c r="D315" s="2" t="s">
        <v>19</v>
      </c>
      <c r="E315" s="2" t="s">
        <v>510</v>
      </c>
      <c r="F315" s="2" t="s">
        <v>511</v>
      </c>
      <c r="G315" s="2" t="s">
        <v>2110</v>
      </c>
      <c r="H315" s="2" t="s">
        <v>512</v>
      </c>
      <c r="I315" s="2"/>
      <c r="J315" s="2" t="s">
        <v>491</v>
      </c>
      <c r="K315" s="2" t="s">
        <v>2102</v>
      </c>
      <c r="L315" s="2"/>
      <c r="M315" s="2" t="s">
        <v>492</v>
      </c>
      <c r="N315" s="2"/>
      <c r="O315" s="2" t="s">
        <v>493</v>
      </c>
      <c r="P315" s="2"/>
      <c r="Q315" s="2" t="s">
        <v>60</v>
      </c>
      <c r="R315" s="2"/>
      <c r="S315" s="2"/>
      <c r="T315" s="2" t="s">
        <v>2083</v>
      </c>
    </row>
    <row r="316" spans="1:20" hidden="1" x14ac:dyDescent="0.25">
      <c r="A316" t="str">
        <f>INDEX('Orig (V1_BCK)'!$C:$C,MATCH($B316,'Orig (V1_BCK)'!$C:$C,0),1)</f>
        <v>M2800289--A7527556</v>
      </c>
      <c r="B316" s="3" t="str">
        <f t="shared" si="4"/>
        <v>M2800289--A7527556</v>
      </c>
      <c r="C316" s="2" t="s">
        <v>922</v>
      </c>
      <c r="D316" s="2" t="s">
        <v>568</v>
      </c>
      <c r="E316" s="2" t="s">
        <v>44</v>
      </c>
      <c r="F316" s="2" t="s">
        <v>704</v>
      </c>
      <c r="G316" s="2" t="s">
        <v>2261</v>
      </c>
      <c r="H316" s="2" t="s">
        <v>2261</v>
      </c>
      <c r="I316" s="2"/>
      <c r="J316" s="2" t="s">
        <v>923</v>
      </c>
      <c r="K316" s="2" t="s">
        <v>2262</v>
      </c>
      <c r="L316" s="2"/>
      <c r="M316" s="2" t="s">
        <v>924</v>
      </c>
      <c r="N316" s="2"/>
      <c r="O316" s="2" t="s">
        <v>925</v>
      </c>
      <c r="P316" s="2"/>
      <c r="Q316" s="2" t="s">
        <v>926</v>
      </c>
      <c r="R316" s="2"/>
      <c r="S316" s="2"/>
      <c r="T316" s="2" t="s">
        <v>2083</v>
      </c>
    </row>
    <row r="317" spans="1:20" ht="45" hidden="1" x14ac:dyDescent="0.25">
      <c r="A317" t="e">
        <f>INDEX('Orig (V1_BCK)'!$C:$C,MATCH($B317,'Orig (V1_BCK)'!$C:$C,0),1)</f>
        <v>#N/A</v>
      </c>
      <c r="B317" s="3" t="str">
        <f t="shared" si="4"/>
        <v>M3268381--</v>
      </c>
      <c r="C317" s="2" t="s">
        <v>1407</v>
      </c>
      <c r="D317" s="2" t="s">
        <v>1408</v>
      </c>
      <c r="E317" s="2" t="s">
        <v>1409</v>
      </c>
      <c r="F317" s="2" t="s">
        <v>11</v>
      </c>
      <c r="G317" s="2" t="s">
        <v>2446</v>
      </c>
      <c r="H317" s="2" t="s">
        <v>1410</v>
      </c>
      <c r="I317" s="2"/>
      <c r="J317" s="2"/>
      <c r="K317" s="2" t="s">
        <v>1312</v>
      </c>
      <c r="L317" s="2"/>
      <c r="M317" s="2"/>
      <c r="N317" s="2"/>
      <c r="O317" s="2"/>
      <c r="P317" s="2"/>
      <c r="Q317" s="2"/>
      <c r="R317" s="2"/>
      <c r="S317" s="2"/>
      <c r="T317" s="2" t="s">
        <v>2080</v>
      </c>
    </row>
    <row r="318" spans="1:20" ht="30" hidden="1" x14ac:dyDescent="0.25">
      <c r="A318" t="e">
        <f>INDEX('Orig (V1_BCK)'!$C:$C,MATCH($B318,'Orig (V1_BCK)'!$C:$C,0),1)</f>
        <v>#N/A</v>
      </c>
      <c r="B318" s="3" t="str">
        <f t="shared" si="4"/>
        <v>M3281423--</v>
      </c>
      <c r="C318" s="2" t="s">
        <v>1745</v>
      </c>
      <c r="D318" s="2" t="s">
        <v>1746</v>
      </c>
      <c r="E318" s="2" t="s">
        <v>54</v>
      </c>
      <c r="F318" s="2" t="s">
        <v>1747</v>
      </c>
      <c r="G318" s="2" t="s">
        <v>2546</v>
      </c>
      <c r="H318" s="2" t="s">
        <v>1748</v>
      </c>
      <c r="I318" s="2"/>
      <c r="J318" s="2"/>
      <c r="K318" s="2" t="s">
        <v>1312</v>
      </c>
      <c r="L318" s="2"/>
      <c r="M318" s="2"/>
      <c r="N318" s="2"/>
      <c r="O318" s="2"/>
      <c r="P318" s="2"/>
      <c r="Q318" s="2"/>
      <c r="R318" s="2"/>
      <c r="S318" s="2"/>
      <c r="T318" s="2" t="s">
        <v>2083</v>
      </c>
    </row>
    <row r="319" spans="1:20" ht="30" hidden="1" x14ac:dyDescent="0.25">
      <c r="A319" t="str">
        <f>INDEX('Orig (V1_BCK)'!$C:$C,MATCH($B319,'Orig (V1_BCK)'!$C:$C,0),1)</f>
        <v>M3402949--V2925369</v>
      </c>
      <c r="B319" s="3" t="str">
        <f t="shared" si="4"/>
        <v>M3402949--V2925369</v>
      </c>
      <c r="C319" s="2" t="s">
        <v>772</v>
      </c>
      <c r="D319" s="2" t="s">
        <v>19</v>
      </c>
      <c r="E319" s="2" t="s">
        <v>773</v>
      </c>
      <c r="F319" s="2" t="s">
        <v>700</v>
      </c>
      <c r="G319" s="2" t="s">
        <v>2212</v>
      </c>
      <c r="H319" s="2" t="s">
        <v>774</v>
      </c>
      <c r="I319" s="2"/>
      <c r="J319" s="2" t="s">
        <v>763</v>
      </c>
      <c r="K319" s="2" t="s">
        <v>2209</v>
      </c>
      <c r="L319" s="2"/>
      <c r="M319" s="2" t="s">
        <v>764</v>
      </c>
      <c r="N319" s="2"/>
      <c r="O319" s="2" t="s">
        <v>765</v>
      </c>
      <c r="P319" s="2"/>
      <c r="Q319" s="2" t="s">
        <v>766</v>
      </c>
      <c r="R319" s="2"/>
      <c r="S319" s="2"/>
      <c r="T319" s="2" t="s">
        <v>2083</v>
      </c>
    </row>
    <row r="320" spans="1:20" hidden="1" x14ac:dyDescent="0.25">
      <c r="A320" t="str">
        <f>INDEX('Orig (V1_BCK)'!$C:$C,MATCH($B320,'Orig (V1_BCK)'!$C:$C,0),1)</f>
        <v>M3569866-M3569866-</v>
      </c>
      <c r="B320" s="3" t="str">
        <f t="shared" si="4"/>
        <v>M3569866-M3569866-</v>
      </c>
      <c r="C320" s="2" t="s">
        <v>5</v>
      </c>
      <c r="D320" s="2" t="s">
        <v>6</v>
      </c>
      <c r="E320" s="2" t="s">
        <v>7</v>
      </c>
      <c r="F320" s="2" t="s">
        <v>8</v>
      </c>
      <c r="G320" s="2" t="s">
        <v>2037</v>
      </c>
      <c r="H320" s="2" t="s">
        <v>994</v>
      </c>
      <c r="I320" s="2" t="s">
        <v>5</v>
      </c>
      <c r="J320" s="2"/>
      <c r="K320" s="2" t="s">
        <v>2293</v>
      </c>
      <c r="L320" s="2" t="s">
        <v>6</v>
      </c>
      <c r="M320" s="2"/>
      <c r="N320" s="2" t="s">
        <v>7</v>
      </c>
      <c r="O320" s="2"/>
      <c r="P320" s="2" t="s">
        <v>8</v>
      </c>
      <c r="Q320" s="2"/>
      <c r="R320" s="2"/>
      <c r="S320" s="2"/>
      <c r="T320" s="2" t="s">
        <v>2038</v>
      </c>
    </row>
    <row r="321" spans="1:20" hidden="1" x14ac:dyDescent="0.25">
      <c r="A321" t="e">
        <f>INDEX('Orig (V1_BCK)'!$C:$C,MATCH($B321,'Orig (V1_BCK)'!$C:$C,0),1)</f>
        <v>#N/A</v>
      </c>
      <c r="B321" s="3" t="str">
        <f t="shared" si="4"/>
        <v>M3695687--</v>
      </c>
      <c r="C321" s="2" t="s">
        <v>1626</v>
      </c>
      <c r="D321" s="2" t="s">
        <v>1627</v>
      </c>
      <c r="E321" s="2" t="s">
        <v>39</v>
      </c>
      <c r="F321" s="2" t="s">
        <v>1628</v>
      </c>
      <c r="G321" s="2" t="s">
        <v>2510</v>
      </c>
      <c r="H321" s="2" t="s">
        <v>1629</v>
      </c>
      <c r="I321" s="2"/>
      <c r="J321" s="2"/>
      <c r="K321" s="2" t="s">
        <v>1312</v>
      </c>
      <c r="L321" s="2"/>
      <c r="M321" s="2"/>
      <c r="N321" s="2"/>
      <c r="O321" s="2"/>
      <c r="P321" s="2"/>
      <c r="Q321" s="2"/>
      <c r="R321" s="2"/>
      <c r="S321" s="2"/>
      <c r="T321" s="2" t="s">
        <v>2397</v>
      </c>
    </row>
    <row r="322" spans="1:20" hidden="1" x14ac:dyDescent="0.25">
      <c r="A322" t="e">
        <f>INDEX('Orig (V1_BCK)'!$C:$C,MATCH($B322,'Orig (V1_BCK)'!$C:$C,0),1)</f>
        <v>#N/A</v>
      </c>
      <c r="B322" s="3" t="str">
        <f t="shared" si="4"/>
        <v>M3716891--</v>
      </c>
      <c r="C322" s="2" t="s">
        <v>1434</v>
      </c>
      <c r="D322" s="2" t="s">
        <v>191</v>
      </c>
      <c r="E322" s="2" t="s">
        <v>1435</v>
      </c>
      <c r="F322" s="2" t="s">
        <v>1436</v>
      </c>
      <c r="G322" s="2" t="s">
        <v>2454</v>
      </c>
      <c r="H322" s="2" t="s">
        <v>1437</v>
      </c>
      <c r="I322" s="2"/>
      <c r="J322" s="2"/>
      <c r="K322" s="2" t="s">
        <v>1312</v>
      </c>
      <c r="L322" s="2"/>
      <c r="M322" s="2"/>
      <c r="N322" s="2"/>
      <c r="O322" s="2"/>
      <c r="P322" s="2"/>
      <c r="Q322" s="2"/>
      <c r="R322" s="2"/>
      <c r="S322" s="2"/>
      <c r="T322" s="2" t="s">
        <v>2375</v>
      </c>
    </row>
    <row r="323" spans="1:20" ht="30" hidden="1" x14ac:dyDescent="0.25">
      <c r="A323" t="e">
        <f>INDEX('Orig (V1_BCK)'!$C:$C,MATCH($B323,'Orig (V1_BCK)'!$C:$C,0),1)</f>
        <v>#N/A</v>
      </c>
      <c r="B323" s="3" t="str">
        <f t="shared" ref="B323:B386" si="5">_xlfn.TEXTJOIN("-",FALSE,$C323,$I323,$J323)</f>
        <v>M3934646--</v>
      </c>
      <c r="C323" s="2" t="s">
        <v>1354</v>
      </c>
      <c r="D323" s="2" t="s">
        <v>19</v>
      </c>
      <c r="E323" s="2" t="s">
        <v>515</v>
      </c>
      <c r="F323" s="2" t="s">
        <v>1355</v>
      </c>
      <c r="G323" s="2" t="s">
        <v>2427</v>
      </c>
      <c r="H323" s="2" t="s">
        <v>1356</v>
      </c>
      <c r="I323" s="2"/>
      <c r="J323" s="2"/>
      <c r="K323" s="2" t="s">
        <v>1312</v>
      </c>
      <c r="L323" s="2"/>
      <c r="M323" s="2"/>
      <c r="N323" s="2"/>
      <c r="O323" s="2"/>
      <c r="P323" s="2"/>
      <c r="Q323" s="2"/>
      <c r="R323" s="2"/>
      <c r="S323" s="2"/>
      <c r="T323" s="2" t="s">
        <v>2071</v>
      </c>
    </row>
    <row r="324" spans="1:20" hidden="1" x14ac:dyDescent="0.25">
      <c r="A324" t="str">
        <f>INDEX('Orig (V1_BCK)'!$C:$C,MATCH($B324,'Orig (V1_BCK)'!$C:$C,0),1)</f>
        <v>M3989973-M3989973-</v>
      </c>
      <c r="B324" s="3" t="str">
        <f t="shared" si="5"/>
        <v>M3989973-M3989973-</v>
      </c>
      <c r="C324" s="2" t="s">
        <v>567</v>
      </c>
      <c r="D324" s="2" t="s">
        <v>568</v>
      </c>
      <c r="E324" s="2" t="s">
        <v>12</v>
      </c>
      <c r="F324" s="2" t="s">
        <v>569</v>
      </c>
      <c r="G324" s="2" t="s">
        <v>2135</v>
      </c>
      <c r="H324" s="2" t="s">
        <v>570</v>
      </c>
      <c r="I324" s="2" t="s">
        <v>567</v>
      </c>
      <c r="J324" s="2"/>
      <c r="K324" s="2" t="s">
        <v>2136</v>
      </c>
      <c r="L324" s="2" t="s">
        <v>568</v>
      </c>
      <c r="M324" s="2"/>
      <c r="N324" s="2" t="s">
        <v>12</v>
      </c>
      <c r="O324" s="2"/>
      <c r="P324" s="2" t="s">
        <v>569</v>
      </c>
      <c r="Q324" s="2"/>
      <c r="R324" s="2"/>
      <c r="S324" s="2"/>
      <c r="T324" s="2" t="s">
        <v>2071</v>
      </c>
    </row>
    <row r="325" spans="1:20" ht="30" hidden="1" x14ac:dyDescent="0.25">
      <c r="A325" t="e">
        <f>INDEX('Orig (V1_BCK)'!$C:$C,MATCH($B325,'Orig (V1_BCK)'!$C:$C,0),1)</f>
        <v>#N/A</v>
      </c>
      <c r="B325" s="3" t="str">
        <f t="shared" si="5"/>
        <v>M4110803--</v>
      </c>
      <c r="C325" s="2" t="s">
        <v>1931</v>
      </c>
      <c r="D325" s="2" t="s">
        <v>19</v>
      </c>
      <c r="E325" s="2" t="s">
        <v>1708</v>
      </c>
      <c r="F325" s="2" t="s">
        <v>74</v>
      </c>
      <c r="G325" s="2" t="s">
        <v>2600</v>
      </c>
      <c r="H325" s="2" t="s">
        <v>1932</v>
      </c>
      <c r="I325" s="2"/>
      <c r="J325" s="2"/>
      <c r="K325" s="2" t="s">
        <v>1312</v>
      </c>
      <c r="L325" s="2"/>
      <c r="M325" s="2"/>
      <c r="N325" s="2"/>
      <c r="O325" s="2"/>
      <c r="P325" s="2"/>
      <c r="Q325" s="2"/>
      <c r="R325" s="2"/>
      <c r="S325" s="2"/>
      <c r="T325" s="2" t="s">
        <v>2375</v>
      </c>
    </row>
    <row r="326" spans="1:20" ht="45" hidden="1" x14ac:dyDescent="0.25">
      <c r="A326" t="e">
        <f>INDEX('Orig (V1_BCK)'!$C:$C,MATCH($B326,'Orig (V1_BCK)'!$C:$C,0),1)</f>
        <v>#N/A</v>
      </c>
      <c r="B326" s="3" t="str">
        <f t="shared" si="5"/>
        <v>M4135874--</v>
      </c>
      <c r="C326" s="2" t="s">
        <v>1459</v>
      </c>
      <c r="D326" s="2" t="s">
        <v>6</v>
      </c>
      <c r="E326" s="2" t="s">
        <v>44</v>
      </c>
      <c r="F326" s="2" t="s">
        <v>617</v>
      </c>
      <c r="G326" s="2" t="s">
        <v>2460</v>
      </c>
      <c r="H326" s="2" t="s">
        <v>1460</v>
      </c>
      <c r="I326" s="2"/>
      <c r="J326" s="2"/>
      <c r="K326" s="2" t="s">
        <v>1312</v>
      </c>
      <c r="L326" s="2"/>
      <c r="M326" s="2"/>
      <c r="N326" s="2"/>
      <c r="O326" s="2"/>
      <c r="P326" s="2"/>
      <c r="Q326" s="2"/>
      <c r="R326" s="2"/>
      <c r="S326" s="2"/>
      <c r="T326" s="2" t="s">
        <v>2041</v>
      </c>
    </row>
    <row r="327" spans="1:20" ht="30" hidden="1" x14ac:dyDescent="0.25">
      <c r="A327" t="str">
        <f>INDEX('Orig (V1_BCK)'!$C:$C,MATCH($B327,'Orig (V1_BCK)'!$C:$C,0),1)</f>
        <v>M4465700--I7600760</v>
      </c>
      <c r="B327" s="3" t="str">
        <f t="shared" si="5"/>
        <v>M4465700--I7600760</v>
      </c>
      <c r="C327" s="2" t="s">
        <v>1109</v>
      </c>
      <c r="D327" s="2" t="s">
        <v>820</v>
      </c>
      <c r="E327" s="2" t="s">
        <v>1110</v>
      </c>
      <c r="F327" s="2" t="s">
        <v>1111</v>
      </c>
      <c r="G327" s="2" t="s">
        <v>2351</v>
      </c>
      <c r="H327" s="2" t="s">
        <v>1112</v>
      </c>
      <c r="I327" s="2"/>
      <c r="J327" s="2" t="s">
        <v>822</v>
      </c>
      <c r="K327" s="2" t="s">
        <v>2229</v>
      </c>
      <c r="L327" s="2"/>
      <c r="M327" s="2" t="s">
        <v>823</v>
      </c>
      <c r="N327" s="2"/>
      <c r="O327" s="2" t="s">
        <v>824</v>
      </c>
      <c r="P327" s="2"/>
      <c r="Q327" s="2" t="s">
        <v>825</v>
      </c>
      <c r="R327" s="2"/>
      <c r="S327" s="2"/>
      <c r="T327" s="2" t="s">
        <v>2083</v>
      </c>
    </row>
    <row r="328" spans="1:20" ht="30" hidden="1" x14ac:dyDescent="0.25">
      <c r="A328" t="str">
        <f>INDEX('Orig (V1_BCK)'!$C:$C,MATCH($B328,'Orig (V1_BCK)'!$C:$C,0),1)</f>
        <v>M4485241-M4485241-</v>
      </c>
      <c r="B328" s="3" t="str">
        <f t="shared" si="5"/>
        <v>M4485241-M4485241-</v>
      </c>
      <c r="C328" s="2" t="s">
        <v>1137</v>
      </c>
      <c r="D328" s="2" t="s">
        <v>1138</v>
      </c>
      <c r="E328" s="2" t="s">
        <v>1139</v>
      </c>
      <c r="F328" s="2" t="s">
        <v>1140</v>
      </c>
      <c r="G328" s="2" t="s">
        <v>2364</v>
      </c>
      <c r="H328" s="2" t="s">
        <v>1141</v>
      </c>
      <c r="I328" s="2" t="s">
        <v>1137</v>
      </c>
      <c r="J328" s="2"/>
      <c r="K328" s="2" t="s">
        <v>2365</v>
      </c>
      <c r="L328" s="2" t="s">
        <v>1138</v>
      </c>
      <c r="M328" s="2"/>
      <c r="N328" s="2" t="s">
        <v>1139</v>
      </c>
      <c r="O328" s="2"/>
      <c r="P328" s="2" t="s">
        <v>1140</v>
      </c>
      <c r="Q328" s="2"/>
      <c r="R328" s="2"/>
      <c r="S328" s="2"/>
      <c r="T328" s="2" t="s">
        <v>2038</v>
      </c>
    </row>
    <row r="329" spans="1:20" hidden="1" x14ac:dyDescent="0.25">
      <c r="A329" t="str">
        <f>INDEX('Orig (V1_BCK)'!$C:$C,MATCH($B329,'Orig (V1_BCK)'!$C:$C,0),1)</f>
        <v>M4581480-M4581480-</v>
      </c>
      <c r="B329" s="3" t="str">
        <f t="shared" si="5"/>
        <v>M4581480-M4581480-</v>
      </c>
      <c r="C329" s="2" t="s">
        <v>538</v>
      </c>
      <c r="D329" s="2" t="s">
        <v>92</v>
      </c>
      <c r="E329" s="2" t="s">
        <v>539</v>
      </c>
      <c r="F329" s="2" t="s">
        <v>468</v>
      </c>
      <c r="G329" s="2" t="s">
        <v>2120</v>
      </c>
      <c r="H329" s="2" t="s">
        <v>1050</v>
      </c>
      <c r="I329" s="2" t="s">
        <v>538</v>
      </c>
      <c r="J329" s="2"/>
      <c r="K329" s="2" t="s">
        <v>2324</v>
      </c>
      <c r="L329" s="2" t="s">
        <v>92</v>
      </c>
      <c r="M329" s="2"/>
      <c r="N329" s="2" t="s">
        <v>539</v>
      </c>
      <c r="O329" s="2"/>
      <c r="P329" s="2" t="s">
        <v>468</v>
      </c>
      <c r="Q329" s="2"/>
      <c r="R329" s="2"/>
      <c r="S329" s="2"/>
      <c r="T329" s="2" t="s">
        <v>2071</v>
      </c>
    </row>
    <row r="330" spans="1:20" ht="30" hidden="1" x14ac:dyDescent="0.25">
      <c r="A330" t="e">
        <f>INDEX('Orig (V1_BCK)'!$C:$C,MATCH($B330,'Orig (V1_BCK)'!$C:$C,0),1)</f>
        <v>#N/A</v>
      </c>
      <c r="B330" s="3" t="str">
        <f t="shared" si="5"/>
        <v>M4649236--</v>
      </c>
      <c r="C330" s="2" t="s">
        <v>1603</v>
      </c>
      <c r="D330" s="2" t="s">
        <v>92</v>
      </c>
      <c r="E330" s="2" t="s">
        <v>1604</v>
      </c>
      <c r="F330" s="2" t="s">
        <v>1605</v>
      </c>
      <c r="G330" s="2" t="s">
        <v>2504</v>
      </c>
      <c r="H330" s="2" t="s">
        <v>1606</v>
      </c>
      <c r="I330" s="2"/>
      <c r="J330" s="2"/>
      <c r="K330" s="2" t="s">
        <v>1312</v>
      </c>
      <c r="L330" s="2"/>
      <c r="M330" s="2"/>
      <c r="N330" s="2"/>
      <c r="O330" s="2"/>
      <c r="P330" s="2"/>
      <c r="Q330" s="2"/>
      <c r="R330" s="2"/>
      <c r="S330" s="2"/>
      <c r="T330" s="2" t="s">
        <v>2080</v>
      </c>
    </row>
    <row r="331" spans="1:20" ht="30" hidden="1" x14ac:dyDescent="0.25">
      <c r="A331" t="e">
        <f>INDEX('Orig (V1_BCK)'!$C:$C,MATCH($B331,'Orig (V1_BCK)'!$C:$C,0),1)</f>
        <v>#N/A</v>
      </c>
      <c r="B331" s="3" t="str">
        <f t="shared" si="5"/>
        <v>M5144942--</v>
      </c>
      <c r="C331" s="2" t="s">
        <v>1646</v>
      </c>
      <c r="D331" s="2" t="s">
        <v>19</v>
      </c>
      <c r="E331" s="2" t="s">
        <v>810</v>
      </c>
      <c r="F331" s="2" t="s">
        <v>1647</v>
      </c>
      <c r="G331" s="2" t="s">
        <v>2516</v>
      </c>
      <c r="H331" s="2" t="s">
        <v>1648</v>
      </c>
      <c r="I331" s="2"/>
      <c r="J331" s="2"/>
      <c r="K331" s="2" t="s">
        <v>1312</v>
      </c>
      <c r="L331" s="2"/>
      <c r="M331" s="2"/>
      <c r="N331" s="2"/>
      <c r="O331" s="2"/>
      <c r="P331" s="2"/>
      <c r="Q331" s="2"/>
      <c r="R331" s="2"/>
      <c r="S331" s="2"/>
      <c r="T331" s="2" t="s">
        <v>2375</v>
      </c>
    </row>
    <row r="332" spans="1:20" ht="30" hidden="1" x14ac:dyDescent="0.25">
      <c r="A332" t="str">
        <f>INDEX('Orig (V1_BCK)'!$C:$C,MATCH($B332,'Orig (V1_BCK)'!$C:$C,0),1)</f>
        <v>M5277654-M5277654-</v>
      </c>
      <c r="B332" s="3" t="str">
        <f t="shared" si="5"/>
        <v>M5277654-M5277654-</v>
      </c>
      <c r="C332" s="2" t="s">
        <v>1130</v>
      </c>
      <c r="D332" s="2" t="s">
        <v>19</v>
      </c>
      <c r="E332" s="2" t="s">
        <v>1131</v>
      </c>
      <c r="F332" s="2" t="s">
        <v>44</v>
      </c>
      <c r="G332" s="2" t="s">
        <v>2360</v>
      </c>
      <c r="H332" s="2" t="s">
        <v>1132</v>
      </c>
      <c r="I332" s="2" t="s">
        <v>1130</v>
      </c>
      <c r="J332" s="2"/>
      <c r="K332" s="2" t="s">
        <v>2361</v>
      </c>
      <c r="L332" s="2" t="s">
        <v>19</v>
      </c>
      <c r="M332" s="2"/>
      <c r="N332" s="2" t="s">
        <v>1131</v>
      </c>
      <c r="O332" s="2"/>
      <c r="P332" s="2" t="s">
        <v>44</v>
      </c>
      <c r="Q332" s="2"/>
      <c r="R332" s="2"/>
      <c r="S332" s="2"/>
      <c r="T332" s="2" t="s">
        <v>2038</v>
      </c>
    </row>
    <row r="333" spans="1:20" ht="30" hidden="1" x14ac:dyDescent="0.25">
      <c r="A333" t="str">
        <f>INDEX('Orig (V1_BCK)'!$C:$C,MATCH($B333,'Orig (V1_BCK)'!$C:$C,0),1)</f>
        <v>M5535070-M5535070-</v>
      </c>
      <c r="B333" s="3" t="str">
        <f t="shared" si="5"/>
        <v>M5535070-M5535070-</v>
      </c>
      <c r="C333" s="2" t="s">
        <v>1037</v>
      </c>
      <c r="D333" s="2" t="s">
        <v>92</v>
      </c>
      <c r="E333" s="2" t="s">
        <v>444</v>
      </c>
      <c r="F333" s="2" t="s">
        <v>1038</v>
      </c>
      <c r="G333" s="2" t="s">
        <v>2315</v>
      </c>
      <c r="H333" s="2" t="s">
        <v>1039</v>
      </c>
      <c r="I333" s="2" t="s">
        <v>1037</v>
      </c>
      <c r="J333" s="2"/>
      <c r="K333" s="2" t="s">
        <v>2316</v>
      </c>
      <c r="L333" s="2" t="s">
        <v>92</v>
      </c>
      <c r="M333" s="2"/>
      <c r="N333" s="2" t="s">
        <v>444</v>
      </c>
      <c r="O333" s="2"/>
      <c r="P333" s="2" t="s">
        <v>1038</v>
      </c>
      <c r="Q333" s="2"/>
      <c r="R333" s="2"/>
      <c r="S333" s="2"/>
      <c r="T333" s="2" t="s">
        <v>2080</v>
      </c>
    </row>
    <row r="334" spans="1:20" ht="45" hidden="1" x14ac:dyDescent="0.25">
      <c r="A334" t="e">
        <f>INDEX('Orig (V1_BCK)'!$C:$C,MATCH($B334,'Orig (V1_BCK)'!$C:$C,0),1)</f>
        <v>#N/A</v>
      </c>
      <c r="B334" s="3" t="str">
        <f t="shared" si="5"/>
        <v>M5703896--</v>
      </c>
      <c r="C334" s="2" t="s">
        <v>1823</v>
      </c>
      <c r="D334" s="2" t="s">
        <v>1824</v>
      </c>
      <c r="E334" s="2" t="s">
        <v>1825</v>
      </c>
      <c r="F334" s="2" t="s">
        <v>662</v>
      </c>
      <c r="G334" s="2" t="s">
        <v>2568</v>
      </c>
      <c r="H334" s="2" t="s">
        <v>1826</v>
      </c>
      <c r="I334" s="2"/>
      <c r="J334" s="2"/>
      <c r="K334" s="2" t="s">
        <v>1312</v>
      </c>
      <c r="L334" s="2"/>
      <c r="M334" s="2"/>
      <c r="N334" s="2"/>
      <c r="O334" s="2"/>
      <c r="P334" s="2"/>
      <c r="Q334" s="2"/>
      <c r="R334" s="2"/>
      <c r="S334" s="2"/>
      <c r="T334" s="2" t="s">
        <v>2041</v>
      </c>
    </row>
    <row r="335" spans="1:20" hidden="1" x14ac:dyDescent="0.25">
      <c r="A335" t="e">
        <f>INDEX('Orig (V1_BCK)'!$C:$C,MATCH($B335,'Orig (V1_BCK)'!$C:$C,0),1)</f>
        <v>#N/A</v>
      </c>
      <c r="B335" s="3" t="str">
        <f t="shared" si="5"/>
        <v>M5731569--</v>
      </c>
      <c r="C335" s="2" t="s">
        <v>1394</v>
      </c>
      <c r="D335" s="2" t="s">
        <v>625</v>
      </c>
      <c r="E335" s="2" t="s">
        <v>1395</v>
      </c>
      <c r="F335" s="2" t="s">
        <v>700</v>
      </c>
      <c r="G335" s="2" t="s">
        <v>2441</v>
      </c>
      <c r="H335" s="2" t="s">
        <v>1396</v>
      </c>
      <c r="I335" s="2"/>
      <c r="J335" s="2"/>
      <c r="K335" s="2" t="s">
        <v>1312</v>
      </c>
      <c r="L335" s="2"/>
      <c r="M335" s="2"/>
      <c r="N335" s="2"/>
      <c r="O335" s="2"/>
      <c r="P335" s="2"/>
      <c r="Q335" s="2"/>
      <c r="R335" s="2"/>
      <c r="S335" s="2"/>
      <c r="T335" s="2" t="s">
        <v>2401</v>
      </c>
    </row>
    <row r="336" spans="1:20" hidden="1" x14ac:dyDescent="0.25">
      <c r="A336" t="str">
        <f>INDEX('Orig (V1_BCK)'!$C:$C,MATCH($B336,'Orig (V1_BCK)'!$C:$C,0),1)</f>
        <v>M5904071-M5904071-</v>
      </c>
      <c r="B336" s="3" t="str">
        <f t="shared" si="5"/>
        <v>M5904071-M5904071-</v>
      </c>
      <c r="C336" s="2" t="s">
        <v>624</v>
      </c>
      <c r="D336" s="2" t="s">
        <v>625</v>
      </c>
      <c r="E336" s="2" t="s">
        <v>626</v>
      </c>
      <c r="F336" s="2" t="s">
        <v>627</v>
      </c>
      <c r="G336" s="2" t="s">
        <v>2158</v>
      </c>
      <c r="H336" s="2" t="s">
        <v>628</v>
      </c>
      <c r="I336" s="2" t="s">
        <v>624</v>
      </c>
      <c r="J336" s="2"/>
      <c r="K336" s="2" t="s">
        <v>2159</v>
      </c>
      <c r="L336" s="2" t="s">
        <v>625</v>
      </c>
      <c r="M336" s="2"/>
      <c r="N336" s="2" t="s">
        <v>626</v>
      </c>
      <c r="O336" s="2"/>
      <c r="P336" s="2" t="s">
        <v>627</v>
      </c>
      <c r="Q336" s="2"/>
      <c r="R336" s="2"/>
      <c r="S336" s="2"/>
      <c r="T336" s="2" t="s">
        <v>2071</v>
      </c>
    </row>
    <row r="337" spans="1:20" hidden="1" x14ac:dyDescent="0.25">
      <c r="A337" t="e">
        <f>INDEX('Orig (V1_BCK)'!$C:$C,MATCH($B337,'Orig (V1_BCK)'!$C:$C,0),1)</f>
        <v>#N/A</v>
      </c>
      <c r="B337" s="3" t="str">
        <f t="shared" si="5"/>
        <v>M5993755--</v>
      </c>
      <c r="C337" s="2" t="s">
        <v>1738</v>
      </c>
      <c r="D337" s="2" t="s">
        <v>1739</v>
      </c>
      <c r="E337" s="2" t="s">
        <v>1740</v>
      </c>
      <c r="F337" s="2" t="s">
        <v>1741</v>
      </c>
      <c r="G337" s="2" t="s">
        <v>2544</v>
      </c>
      <c r="H337" s="2" t="s">
        <v>693</v>
      </c>
      <c r="I337" s="2"/>
      <c r="J337" s="2"/>
      <c r="K337" s="2" t="s">
        <v>1312</v>
      </c>
      <c r="L337" s="2"/>
      <c r="M337" s="2"/>
      <c r="N337" s="2"/>
      <c r="O337" s="2"/>
      <c r="P337" s="2"/>
      <c r="Q337" s="2"/>
      <c r="R337" s="2"/>
      <c r="S337" s="2"/>
      <c r="T337" s="2" t="s">
        <v>2041</v>
      </c>
    </row>
    <row r="338" spans="1:20" ht="30" hidden="1" x14ac:dyDescent="0.25">
      <c r="A338" t="e">
        <f>INDEX('Orig (V1_BCK)'!$C:$C,MATCH($B338,'Orig (V1_BCK)'!$C:$C,0),1)</f>
        <v>#N/A</v>
      </c>
      <c r="B338" s="3" t="str">
        <f t="shared" si="5"/>
        <v>M6277908--</v>
      </c>
      <c r="C338" s="2" t="s">
        <v>1715</v>
      </c>
      <c r="D338" s="2" t="s">
        <v>1716</v>
      </c>
      <c r="E338" s="2" t="s">
        <v>8</v>
      </c>
      <c r="F338" s="2" t="s">
        <v>12</v>
      </c>
      <c r="G338" s="2" t="s">
        <v>2537</v>
      </c>
      <c r="H338" s="2" t="s">
        <v>1717</v>
      </c>
      <c r="I338" s="2"/>
      <c r="J338" s="2"/>
      <c r="K338" s="2" t="s">
        <v>1312</v>
      </c>
      <c r="L338" s="2"/>
      <c r="M338" s="2"/>
      <c r="N338" s="2"/>
      <c r="O338" s="2"/>
      <c r="P338" s="2"/>
      <c r="Q338" s="2"/>
      <c r="R338" s="2"/>
      <c r="S338" s="2"/>
      <c r="T338" s="2" t="s">
        <v>2041</v>
      </c>
    </row>
    <row r="339" spans="1:20" hidden="1" x14ac:dyDescent="0.25">
      <c r="A339" t="str">
        <f>INDEX('Orig (V1_BCK)'!$C:$C,MATCH($B339,'Orig (V1_BCK)'!$C:$C,0),1)</f>
        <v>M6667228--G3229318</v>
      </c>
      <c r="B339" s="3" t="str">
        <f t="shared" si="5"/>
        <v>M6667228--G3229318</v>
      </c>
      <c r="C339" s="2" t="s">
        <v>863</v>
      </c>
      <c r="D339" s="2" t="s">
        <v>864</v>
      </c>
      <c r="E339" s="2" t="s">
        <v>865</v>
      </c>
      <c r="F339" s="2" t="s">
        <v>866</v>
      </c>
      <c r="G339" s="2" t="s">
        <v>2239</v>
      </c>
      <c r="H339" s="2" t="s">
        <v>867</v>
      </c>
      <c r="I339" s="2"/>
      <c r="J339" s="2" t="s">
        <v>791</v>
      </c>
      <c r="K339" s="2" t="s">
        <v>2219</v>
      </c>
      <c r="L339" s="2"/>
      <c r="M339" s="2" t="s">
        <v>524</v>
      </c>
      <c r="N339" s="2"/>
      <c r="O339" s="2" t="s">
        <v>792</v>
      </c>
      <c r="P339" s="2"/>
      <c r="Q339" s="2" t="s">
        <v>793</v>
      </c>
      <c r="R339" s="2"/>
      <c r="S339" s="2"/>
      <c r="T339" s="2" t="s">
        <v>2046</v>
      </c>
    </row>
    <row r="340" spans="1:20" hidden="1" x14ac:dyDescent="0.25">
      <c r="A340" t="str">
        <f>INDEX('Orig (V1_BCK)'!$C:$C,MATCH($B340,'Orig (V1_BCK)'!$C:$C,0),1)</f>
        <v>M6674420-M6674420-</v>
      </c>
      <c r="B340" s="3" t="str">
        <f t="shared" si="5"/>
        <v>M6674420-M6674420-</v>
      </c>
      <c r="C340" s="2" t="s">
        <v>1089</v>
      </c>
      <c r="D340" s="2" t="s">
        <v>191</v>
      </c>
      <c r="E340" s="2" t="s">
        <v>1090</v>
      </c>
      <c r="F340" s="2" t="s">
        <v>1091</v>
      </c>
      <c r="G340" s="2" t="s">
        <v>2342</v>
      </c>
      <c r="H340" s="2" t="s">
        <v>1092</v>
      </c>
      <c r="I340" s="2" t="s">
        <v>1089</v>
      </c>
      <c r="J340" s="2"/>
      <c r="K340" s="2" t="s">
        <v>2343</v>
      </c>
      <c r="L340" s="2" t="s">
        <v>191</v>
      </c>
      <c r="M340" s="2"/>
      <c r="N340" s="2" t="s">
        <v>1090</v>
      </c>
      <c r="O340" s="2"/>
      <c r="P340" s="2" t="s">
        <v>1091</v>
      </c>
      <c r="Q340" s="2"/>
      <c r="R340" s="2"/>
      <c r="S340" s="2"/>
      <c r="T340" s="2" t="s">
        <v>2038</v>
      </c>
    </row>
    <row r="341" spans="1:20" ht="45" hidden="1" x14ac:dyDescent="0.25">
      <c r="A341" t="e">
        <f>INDEX('Orig (V1_BCK)'!$C:$C,MATCH($B341,'Orig (V1_BCK)'!$C:$C,0),1)</f>
        <v>#N/A</v>
      </c>
      <c r="B341" s="3" t="str">
        <f t="shared" si="5"/>
        <v>M6842783--</v>
      </c>
      <c r="C341" s="2" t="s">
        <v>1960</v>
      </c>
      <c r="D341" s="2" t="s">
        <v>1961</v>
      </c>
      <c r="E341" s="2" t="s">
        <v>12</v>
      </c>
      <c r="F341" s="2" t="s">
        <v>1962</v>
      </c>
      <c r="G341" s="2" t="s">
        <v>2610</v>
      </c>
      <c r="H341" s="2" t="s">
        <v>1963</v>
      </c>
      <c r="I341" s="2"/>
      <c r="J341" s="2"/>
      <c r="K341" s="2" t="s">
        <v>1312</v>
      </c>
      <c r="L341" s="2"/>
      <c r="M341" s="2"/>
      <c r="N341" s="2"/>
      <c r="O341" s="2"/>
      <c r="P341" s="2"/>
      <c r="Q341" s="2"/>
      <c r="R341" s="2"/>
      <c r="S341" s="2"/>
      <c r="T341" s="2" t="s">
        <v>2041</v>
      </c>
    </row>
    <row r="342" spans="1:20" ht="45" hidden="1" x14ac:dyDescent="0.25">
      <c r="A342" t="e">
        <f>INDEX('Orig (V1_BCK)'!$C:$C,MATCH($B342,'Orig (V1_BCK)'!$C:$C,0),1)</f>
        <v>#N/A</v>
      </c>
      <c r="B342" s="3" t="str">
        <f t="shared" si="5"/>
        <v>M7034741--</v>
      </c>
      <c r="C342" s="2" t="s">
        <v>1531</v>
      </c>
      <c r="D342" s="2" t="s">
        <v>153</v>
      </c>
      <c r="E342" s="2" t="s">
        <v>612</v>
      </c>
      <c r="F342" s="2" t="s">
        <v>1532</v>
      </c>
      <c r="G342" s="2" t="s">
        <v>2484</v>
      </c>
      <c r="H342" s="2" t="s">
        <v>1533</v>
      </c>
      <c r="I342" s="2"/>
      <c r="J342" s="2"/>
      <c r="K342" s="2" t="s">
        <v>1312</v>
      </c>
      <c r="L342" s="2"/>
      <c r="M342" s="2"/>
      <c r="N342" s="2"/>
      <c r="O342" s="2"/>
      <c r="P342" s="2"/>
      <c r="Q342" s="2"/>
      <c r="R342" s="2"/>
      <c r="S342" s="2"/>
      <c r="T342" s="2" t="s">
        <v>2041</v>
      </c>
    </row>
    <row r="343" spans="1:20" ht="30" hidden="1" x14ac:dyDescent="0.25">
      <c r="A343" t="e">
        <f>INDEX('Orig (V1_BCK)'!$C:$C,MATCH($B343,'Orig (V1_BCK)'!$C:$C,0),1)</f>
        <v>#N/A</v>
      </c>
      <c r="B343" s="3" t="str">
        <f t="shared" si="5"/>
        <v>M7142704--</v>
      </c>
      <c r="C343" s="2" t="s">
        <v>1426</v>
      </c>
      <c r="D343" s="2" t="s">
        <v>1408</v>
      </c>
      <c r="E343" s="2" t="s">
        <v>1427</v>
      </c>
      <c r="F343" s="2" t="s">
        <v>39</v>
      </c>
      <c r="G343" s="2" t="s">
        <v>2452</v>
      </c>
      <c r="H343" s="2" t="s">
        <v>1428</v>
      </c>
      <c r="I343" s="2"/>
      <c r="J343" s="2"/>
      <c r="K343" s="2" t="s">
        <v>1312</v>
      </c>
      <c r="L343" s="2"/>
      <c r="M343" s="2"/>
      <c r="N343" s="2"/>
      <c r="O343" s="2"/>
      <c r="P343" s="2"/>
      <c r="Q343" s="2"/>
      <c r="R343" s="2"/>
      <c r="S343" s="2"/>
      <c r="T343" s="2" t="s">
        <v>2071</v>
      </c>
    </row>
    <row r="344" spans="1:20" ht="30" hidden="1" x14ac:dyDescent="0.25">
      <c r="A344" t="e">
        <f>INDEX('Orig (V1_BCK)'!$C:$C,MATCH($B344,'Orig (V1_BCK)'!$C:$C,0),1)</f>
        <v>#N/A</v>
      </c>
      <c r="B344" s="3" t="str">
        <f t="shared" si="5"/>
        <v>M7207713--</v>
      </c>
      <c r="C344" s="2" t="s">
        <v>1179</v>
      </c>
      <c r="D344" s="2" t="s">
        <v>6</v>
      </c>
      <c r="E344" s="2" t="s">
        <v>1180</v>
      </c>
      <c r="F344" s="2" t="s">
        <v>2372</v>
      </c>
      <c r="G344" s="2" t="s">
        <v>2577</v>
      </c>
      <c r="H344" s="2" t="s">
        <v>1847</v>
      </c>
      <c r="I344" s="2"/>
      <c r="J344" s="2"/>
      <c r="K344" s="2" t="s">
        <v>1312</v>
      </c>
      <c r="L344" s="2"/>
      <c r="M344" s="2"/>
      <c r="N344" s="2"/>
      <c r="O344" s="2"/>
      <c r="P344" s="2"/>
      <c r="Q344" s="2"/>
      <c r="R344" s="2"/>
      <c r="S344" s="2"/>
      <c r="T344" s="2" t="s">
        <v>2375</v>
      </c>
    </row>
    <row r="345" spans="1:20" ht="30" hidden="1" x14ac:dyDescent="0.25">
      <c r="A345" t="e">
        <f>INDEX('Orig (V1_BCK)'!$C:$C,MATCH($B345,'Orig (V1_BCK)'!$C:$C,0),1)</f>
        <v>#N/A</v>
      </c>
      <c r="B345" s="3" t="str">
        <f t="shared" si="5"/>
        <v>M7347565--</v>
      </c>
      <c r="C345" s="2" t="s">
        <v>1360</v>
      </c>
      <c r="D345" s="2" t="s">
        <v>1361</v>
      </c>
      <c r="E345" s="2" t="s">
        <v>1362</v>
      </c>
      <c r="F345" s="2" t="s">
        <v>692</v>
      </c>
      <c r="G345" s="2" t="s">
        <v>2429</v>
      </c>
      <c r="H345" s="2" t="s">
        <v>1363</v>
      </c>
      <c r="I345" s="2"/>
      <c r="J345" s="2"/>
      <c r="K345" s="2" t="s">
        <v>1312</v>
      </c>
      <c r="L345" s="2"/>
      <c r="M345" s="2"/>
      <c r="N345" s="2"/>
      <c r="O345" s="2"/>
      <c r="P345" s="2"/>
      <c r="Q345" s="2"/>
      <c r="R345" s="2"/>
      <c r="S345" s="2"/>
      <c r="T345" s="2" t="s">
        <v>2080</v>
      </c>
    </row>
    <row r="346" spans="1:20" ht="30" hidden="1" x14ac:dyDescent="0.25">
      <c r="A346" t="e">
        <f>INDEX('Orig (V1_BCK)'!$C:$C,MATCH($B346,'Orig (V1_BCK)'!$C:$C,0),1)</f>
        <v>#N/A</v>
      </c>
      <c r="B346" s="3" t="str">
        <f t="shared" si="5"/>
        <v>M7436720--</v>
      </c>
      <c r="C346" s="2" t="s">
        <v>1555</v>
      </c>
      <c r="D346" s="2" t="s">
        <v>1408</v>
      </c>
      <c r="E346" s="2" t="s">
        <v>11</v>
      </c>
      <c r="F346" s="2" t="s">
        <v>1556</v>
      </c>
      <c r="G346" s="2" t="s">
        <v>2490</v>
      </c>
      <c r="H346" s="2" t="s">
        <v>1557</v>
      </c>
      <c r="I346" s="2"/>
      <c r="J346" s="2"/>
      <c r="K346" s="2" t="s">
        <v>1312</v>
      </c>
      <c r="L346" s="2"/>
      <c r="M346" s="2"/>
      <c r="N346" s="2"/>
      <c r="O346" s="2"/>
      <c r="P346" s="2"/>
      <c r="Q346" s="2"/>
      <c r="R346" s="2"/>
      <c r="S346" s="2"/>
      <c r="T346" s="2" t="s">
        <v>2041</v>
      </c>
    </row>
    <row r="347" spans="1:20" ht="30" hidden="1" x14ac:dyDescent="0.25">
      <c r="A347" t="str">
        <f>INDEX('Orig (V1_BCK)'!$C:$C,MATCH($B347,'Orig (V1_BCK)'!$C:$C,0),1)</f>
        <v>M7668816--J5391663</v>
      </c>
      <c r="B347" s="3" t="str">
        <f t="shared" si="5"/>
        <v>M7668816--J5391663</v>
      </c>
      <c r="C347" s="2" t="s">
        <v>18</v>
      </c>
      <c r="D347" s="2" t="s">
        <v>19</v>
      </c>
      <c r="E347" s="2" t="s">
        <v>20</v>
      </c>
      <c r="F347" s="2" t="s">
        <v>21</v>
      </c>
      <c r="G347" s="2" t="s">
        <v>2042</v>
      </c>
      <c r="H347" s="2" t="s">
        <v>22</v>
      </c>
      <c r="I347" s="2"/>
      <c r="J347" s="2" t="s">
        <v>23</v>
      </c>
      <c r="K347" s="2" t="s">
        <v>2043</v>
      </c>
      <c r="L347" s="2"/>
      <c r="M347" s="2" t="s">
        <v>24</v>
      </c>
      <c r="N347" s="2"/>
      <c r="O347" s="2" t="s">
        <v>25</v>
      </c>
      <c r="P347" s="2"/>
      <c r="Q347" s="2" t="s">
        <v>26</v>
      </c>
      <c r="R347" s="2"/>
      <c r="S347" s="2"/>
      <c r="T347" s="2" t="s">
        <v>2038</v>
      </c>
    </row>
    <row r="348" spans="1:20" ht="30" hidden="1" x14ac:dyDescent="0.25">
      <c r="A348" t="str">
        <f>INDEX('Orig (V1_BCK)'!$C:$C,MATCH($B348,'Orig (V1_BCK)'!$C:$C,0),1)</f>
        <v>M7677633--J3490141</v>
      </c>
      <c r="B348" s="3" t="str">
        <f t="shared" si="5"/>
        <v>M7677633--J3490141</v>
      </c>
      <c r="C348" s="2" t="s">
        <v>623</v>
      </c>
      <c r="D348" s="2" t="s">
        <v>19</v>
      </c>
      <c r="E348" s="2" t="s">
        <v>586</v>
      </c>
      <c r="F348" s="2" t="s">
        <v>8</v>
      </c>
      <c r="G348" s="2" t="s">
        <v>2157</v>
      </c>
      <c r="H348" s="2" t="s">
        <v>2157</v>
      </c>
      <c r="I348" s="2"/>
      <c r="J348" s="2" t="s">
        <v>594</v>
      </c>
      <c r="K348" s="2" t="s">
        <v>2146</v>
      </c>
      <c r="L348" s="2"/>
      <c r="M348" s="2" t="s">
        <v>438</v>
      </c>
      <c r="N348" s="2"/>
      <c r="O348" s="2" t="s">
        <v>595</v>
      </c>
      <c r="P348" s="2"/>
      <c r="Q348" s="2" t="s">
        <v>596</v>
      </c>
      <c r="R348" s="2"/>
      <c r="S348" s="2"/>
      <c r="T348" s="2" t="s">
        <v>2083</v>
      </c>
    </row>
    <row r="349" spans="1:20" ht="45" hidden="1" x14ac:dyDescent="0.25">
      <c r="A349" t="e">
        <f>INDEX('Orig (V1_BCK)'!$C:$C,MATCH($B349,'Orig (V1_BCK)'!$C:$C,0),1)</f>
        <v>#N/A</v>
      </c>
      <c r="B349" s="3" t="str">
        <f t="shared" si="5"/>
        <v>M7760646--</v>
      </c>
      <c r="C349" s="2" t="s">
        <v>1997</v>
      </c>
      <c r="D349" s="2" t="s">
        <v>800</v>
      </c>
      <c r="E349" s="2" t="s">
        <v>29</v>
      </c>
      <c r="F349" s="2" t="s">
        <v>74</v>
      </c>
      <c r="G349" s="2" t="s">
        <v>2623</v>
      </c>
      <c r="H349" s="2" t="s">
        <v>1998</v>
      </c>
      <c r="I349" s="2"/>
      <c r="J349" s="2"/>
      <c r="K349" s="2" t="s">
        <v>1312</v>
      </c>
      <c r="L349" s="2"/>
      <c r="M349" s="2"/>
      <c r="N349" s="2"/>
      <c r="O349" s="2"/>
      <c r="P349" s="2"/>
      <c r="Q349" s="2"/>
      <c r="R349" s="2"/>
      <c r="S349" s="2"/>
      <c r="T349" s="2" t="s">
        <v>2041</v>
      </c>
    </row>
    <row r="350" spans="1:20" ht="45" hidden="1" x14ac:dyDescent="0.25">
      <c r="A350" t="e">
        <f>INDEX('Orig (V1_BCK)'!$C:$C,MATCH($B350,'Orig (V1_BCK)'!$C:$C,0),1)</f>
        <v>#N/A</v>
      </c>
      <c r="B350" s="3" t="str">
        <f t="shared" si="5"/>
        <v>M7998159--</v>
      </c>
      <c r="C350" s="2" t="s">
        <v>1562</v>
      </c>
      <c r="D350" s="2" t="s">
        <v>191</v>
      </c>
      <c r="E350" s="2" t="s">
        <v>1563</v>
      </c>
      <c r="F350" s="2" t="s">
        <v>1564</v>
      </c>
      <c r="G350" s="2" t="s">
        <v>2492</v>
      </c>
      <c r="H350" s="2" t="s">
        <v>1565</v>
      </c>
      <c r="I350" s="2"/>
      <c r="J350" s="2"/>
      <c r="K350" s="2" t="s">
        <v>1312</v>
      </c>
      <c r="L350" s="2"/>
      <c r="M350" s="2"/>
      <c r="N350" s="2"/>
      <c r="O350" s="2"/>
      <c r="P350" s="2"/>
      <c r="Q350" s="2"/>
      <c r="R350" s="2"/>
      <c r="S350" s="2"/>
      <c r="T350" s="2" t="s">
        <v>2041</v>
      </c>
    </row>
    <row r="351" spans="1:20" ht="30" hidden="1" x14ac:dyDescent="0.25">
      <c r="A351" t="str">
        <f>INDEX('Orig (V1_BCK)'!$C:$C,MATCH($B351,'Orig (V1_BCK)'!$C:$C,0),1)</f>
        <v>M8781732--V2925369</v>
      </c>
      <c r="B351" s="3" t="str">
        <f t="shared" si="5"/>
        <v>M8781732--V2925369</v>
      </c>
      <c r="C351" s="2" t="s">
        <v>761</v>
      </c>
      <c r="D351" s="2" t="s">
        <v>19</v>
      </c>
      <c r="E351" s="2" t="s">
        <v>29</v>
      </c>
      <c r="F351" s="2" t="s">
        <v>762</v>
      </c>
      <c r="G351" s="2" t="s">
        <v>2208</v>
      </c>
      <c r="H351" s="2" t="s">
        <v>2208</v>
      </c>
      <c r="I351" s="2"/>
      <c r="J351" s="2" t="s">
        <v>763</v>
      </c>
      <c r="K351" s="2" t="s">
        <v>2209</v>
      </c>
      <c r="L351" s="2"/>
      <c r="M351" s="2" t="s">
        <v>764</v>
      </c>
      <c r="N351" s="2"/>
      <c r="O351" s="2" t="s">
        <v>765</v>
      </c>
      <c r="P351" s="2"/>
      <c r="Q351" s="2" t="s">
        <v>766</v>
      </c>
      <c r="R351" s="2"/>
      <c r="S351" s="2"/>
      <c r="T351" s="2" t="s">
        <v>2083</v>
      </c>
    </row>
    <row r="352" spans="1:20" hidden="1" x14ac:dyDescent="0.25">
      <c r="A352" t="str">
        <f>INDEX('Orig (V1_BCK)'!$C:$C,MATCH($B352,'Orig (V1_BCK)'!$C:$C,0),1)</f>
        <v>M9111698--I7600760</v>
      </c>
      <c r="B352" s="3" t="str">
        <f t="shared" si="5"/>
        <v>M9111698--I7600760</v>
      </c>
      <c r="C352" s="2" t="s">
        <v>880</v>
      </c>
      <c r="D352" s="2" t="s">
        <v>881</v>
      </c>
      <c r="E352" s="2" t="s">
        <v>882</v>
      </c>
      <c r="F352" s="2" t="s">
        <v>883</v>
      </c>
      <c r="G352" s="2" t="s">
        <v>2245</v>
      </c>
      <c r="H352" s="2" t="s">
        <v>2245</v>
      </c>
      <c r="I352" s="2"/>
      <c r="J352" s="2" t="s">
        <v>822</v>
      </c>
      <c r="K352" s="2" t="s">
        <v>2229</v>
      </c>
      <c r="L352" s="2"/>
      <c r="M352" s="2" t="s">
        <v>823</v>
      </c>
      <c r="N352" s="2"/>
      <c r="O352" s="2" t="s">
        <v>824</v>
      </c>
      <c r="P352" s="2"/>
      <c r="Q352" s="2" t="s">
        <v>825</v>
      </c>
      <c r="R352" s="2"/>
      <c r="S352" s="2"/>
      <c r="T352" s="2" t="s">
        <v>2083</v>
      </c>
    </row>
    <row r="353" spans="1:20" ht="30" hidden="1" x14ac:dyDescent="0.25">
      <c r="A353" t="str">
        <f>INDEX('Orig (V1_BCK)'!$C:$C,MATCH($B353,'Orig (V1_BCK)'!$C:$C,0),1)</f>
        <v>M9469528-M9469528-</v>
      </c>
      <c r="B353" s="3" t="str">
        <f t="shared" si="5"/>
        <v>M9469528-M9469528-</v>
      </c>
      <c r="C353" s="2" t="s">
        <v>1125</v>
      </c>
      <c r="D353" s="2" t="s">
        <v>19</v>
      </c>
      <c r="E353" s="2" t="s">
        <v>1126</v>
      </c>
      <c r="F353" s="2" t="s">
        <v>11</v>
      </c>
      <c r="G353" s="2" t="s">
        <v>2357</v>
      </c>
      <c r="H353" s="2" t="s">
        <v>1127</v>
      </c>
      <c r="I353" s="2" t="s">
        <v>1125</v>
      </c>
      <c r="J353" s="2"/>
      <c r="K353" s="2" t="s">
        <v>2358</v>
      </c>
      <c r="L353" s="2" t="s">
        <v>19</v>
      </c>
      <c r="M353" s="2"/>
      <c r="N353" s="2" t="s">
        <v>1126</v>
      </c>
      <c r="O353" s="2"/>
      <c r="P353" s="2" t="s">
        <v>11</v>
      </c>
      <c r="Q353" s="2"/>
      <c r="R353" s="2"/>
      <c r="S353" s="2"/>
      <c r="T353" s="2" t="s">
        <v>2038</v>
      </c>
    </row>
    <row r="354" spans="1:20" ht="30" hidden="1" x14ac:dyDescent="0.25">
      <c r="A354" t="str">
        <f>INDEX('Orig (V1_BCK)'!$C:$C,MATCH($B354,'Orig (V1_BCK)'!$C:$C,0),1)</f>
        <v>M9785960--I7600760</v>
      </c>
      <c r="B354" s="3" t="str">
        <f t="shared" si="5"/>
        <v>M9785960--I7600760</v>
      </c>
      <c r="C354" s="2" t="s">
        <v>819</v>
      </c>
      <c r="D354" s="2" t="s">
        <v>820</v>
      </c>
      <c r="E354" s="2" t="s">
        <v>74</v>
      </c>
      <c r="F354" s="2" t="s">
        <v>8</v>
      </c>
      <c r="G354" s="2" t="s">
        <v>2228</v>
      </c>
      <c r="H354" s="2" t="s">
        <v>821</v>
      </c>
      <c r="I354" s="2"/>
      <c r="J354" s="2" t="s">
        <v>822</v>
      </c>
      <c r="K354" s="2" t="s">
        <v>2229</v>
      </c>
      <c r="L354" s="2"/>
      <c r="M354" s="2" t="s">
        <v>823</v>
      </c>
      <c r="N354" s="2"/>
      <c r="O354" s="2" t="s">
        <v>824</v>
      </c>
      <c r="P354" s="2"/>
      <c r="Q354" s="2" t="s">
        <v>825</v>
      </c>
      <c r="R354" s="2"/>
      <c r="S354" s="2"/>
      <c r="T354" s="2" t="s">
        <v>2083</v>
      </c>
    </row>
    <row r="355" spans="1:20" ht="30" hidden="1" x14ac:dyDescent="0.25">
      <c r="A355" t="e">
        <f>INDEX('Orig (V1_BCK)'!$C:$C,MATCH($B355,'Orig (V1_BCK)'!$C:$C,0),1)</f>
        <v>#N/A</v>
      </c>
      <c r="B355" s="3" t="str">
        <f t="shared" si="5"/>
        <v>M9791717--</v>
      </c>
      <c r="C355" s="2" t="s">
        <v>1326</v>
      </c>
      <c r="D355" s="2" t="s">
        <v>1327</v>
      </c>
      <c r="E355" s="2" t="s">
        <v>1328</v>
      </c>
      <c r="F355" s="2" t="s">
        <v>1329</v>
      </c>
      <c r="G355" s="2" t="s">
        <v>2419</v>
      </c>
      <c r="H355" s="2" t="s">
        <v>1330</v>
      </c>
      <c r="I355" s="2"/>
      <c r="J355" s="2"/>
      <c r="K355" s="2" t="s">
        <v>1312</v>
      </c>
      <c r="L355" s="2"/>
      <c r="M355" s="2"/>
      <c r="N355" s="2"/>
      <c r="O355" s="2"/>
      <c r="P355" s="2"/>
      <c r="Q355" s="2"/>
      <c r="R355" s="2"/>
      <c r="S355" s="2"/>
      <c r="T355" s="2" t="s">
        <v>2080</v>
      </c>
    </row>
    <row r="356" spans="1:20" hidden="1" x14ac:dyDescent="0.25">
      <c r="A356" t="str">
        <f>INDEX('Orig (V1_BCK)'!$C:$C,MATCH($B356,'Orig (V1_BCK)'!$C:$C,0),1)</f>
        <v>M9973867--J5549918</v>
      </c>
      <c r="B356" s="3" t="str">
        <f t="shared" si="5"/>
        <v>M9973867--J5549918</v>
      </c>
      <c r="C356" s="2" t="s">
        <v>799</v>
      </c>
      <c r="D356" s="2" t="s">
        <v>800</v>
      </c>
      <c r="E356" s="2" t="s">
        <v>801</v>
      </c>
      <c r="F356" s="2" t="s">
        <v>700</v>
      </c>
      <c r="G356" s="2" t="s">
        <v>2221</v>
      </c>
      <c r="H356" s="2" t="s">
        <v>802</v>
      </c>
      <c r="I356" s="2"/>
      <c r="J356" s="2" t="s">
        <v>446</v>
      </c>
      <c r="K356" s="2" t="s">
        <v>2082</v>
      </c>
      <c r="L356" s="2"/>
      <c r="M356" s="2" t="s">
        <v>438</v>
      </c>
      <c r="N356" s="2"/>
      <c r="O356" s="2" t="s">
        <v>447</v>
      </c>
      <c r="P356" s="2"/>
      <c r="Q356" s="2" t="s">
        <v>448</v>
      </c>
      <c r="R356" s="2"/>
      <c r="S356" s="2"/>
      <c r="T356" s="2" t="s">
        <v>2083</v>
      </c>
    </row>
    <row r="357" spans="1:20" ht="45" hidden="1" x14ac:dyDescent="0.25">
      <c r="A357" t="e">
        <f>INDEX('Orig (V1_BCK)'!$C:$C,MATCH($B357,'Orig (V1_BCK)'!$C:$C,0),1)</f>
        <v>#N/A</v>
      </c>
      <c r="B357" s="3" t="str">
        <f t="shared" si="5"/>
        <v>N0570569--</v>
      </c>
      <c r="C357" s="2" t="s">
        <v>2019</v>
      </c>
      <c r="D357" s="2" t="s">
        <v>2020</v>
      </c>
      <c r="E357" s="2" t="s">
        <v>2021</v>
      </c>
      <c r="F357" s="2" t="s">
        <v>2022</v>
      </c>
      <c r="G357" s="2" t="s">
        <v>2630</v>
      </c>
      <c r="H357" s="2" t="s">
        <v>2023</v>
      </c>
      <c r="I357" s="2"/>
      <c r="J357" s="2"/>
      <c r="K357" s="2" t="s">
        <v>1312</v>
      </c>
      <c r="L357" s="2"/>
      <c r="M357" s="2"/>
      <c r="N357" s="2"/>
      <c r="O357" s="2"/>
      <c r="P357" s="2"/>
      <c r="Q357" s="2"/>
      <c r="R357" s="2"/>
      <c r="S357" s="2"/>
      <c r="T357" s="2" t="s">
        <v>2041</v>
      </c>
    </row>
    <row r="358" spans="1:20" ht="30" hidden="1" x14ac:dyDescent="0.25">
      <c r="A358" t="e">
        <f>INDEX('Orig (V1_BCK)'!$C:$C,MATCH($B358,'Orig (V1_BCK)'!$C:$C,0),1)</f>
        <v>#N/A</v>
      </c>
      <c r="B358" s="3" t="str">
        <f t="shared" si="5"/>
        <v>N2509440--</v>
      </c>
      <c r="C358" s="2" t="s">
        <v>1212</v>
      </c>
      <c r="D358" s="2" t="s">
        <v>1213</v>
      </c>
      <c r="E358" s="2" t="s">
        <v>1214</v>
      </c>
      <c r="F358" s="2" t="s">
        <v>1215</v>
      </c>
      <c r="G358" s="2" t="s">
        <v>2533</v>
      </c>
      <c r="H358" s="2" t="s">
        <v>1703</v>
      </c>
      <c r="I358" s="2"/>
      <c r="J358" s="2"/>
      <c r="K358" s="2" t="s">
        <v>1312</v>
      </c>
      <c r="L358" s="2"/>
      <c r="M358" s="2"/>
      <c r="N358" s="2"/>
      <c r="O358" s="2"/>
      <c r="P358" s="2"/>
      <c r="Q358" s="2"/>
      <c r="R358" s="2"/>
      <c r="S358" s="2"/>
      <c r="T358" s="2" t="s">
        <v>2080</v>
      </c>
    </row>
    <row r="359" spans="1:20" ht="45" hidden="1" x14ac:dyDescent="0.25">
      <c r="A359" t="e">
        <f>INDEX('Orig (V1_BCK)'!$C:$C,MATCH($B359,'Orig (V1_BCK)'!$C:$C,0),1)</f>
        <v>#N/A</v>
      </c>
      <c r="B359" s="3" t="str">
        <f t="shared" si="5"/>
        <v>N5182906--</v>
      </c>
      <c r="C359" s="2" t="s">
        <v>2030</v>
      </c>
      <c r="D359" s="2" t="s">
        <v>2031</v>
      </c>
      <c r="E359" s="2" t="s">
        <v>2032</v>
      </c>
      <c r="F359" s="2" t="s">
        <v>2033</v>
      </c>
      <c r="G359" s="2" t="s">
        <v>2633</v>
      </c>
      <c r="H359" s="2" t="s">
        <v>2034</v>
      </c>
      <c r="I359" s="2"/>
      <c r="J359" s="2"/>
      <c r="K359" s="2" t="s">
        <v>1312</v>
      </c>
      <c r="L359" s="2"/>
      <c r="M359" s="2"/>
      <c r="N359" s="2"/>
      <c r="O359" s="2"/>
      <c r="P359" s="2"/>
      <c r="Q359" s="2"/>
      <c r="R359" s="2"/>
      <c r="S359" s="2"/>
      <c r="T359" s="2" t="s">
        <v>2041</v>
      </c>
    </row>
    <row r="360" spans="1:20" ht="45" hidden="1" x14ac:dyDescent="0.25">
      <c r="A360" t="e">
        <f>INDEX('Orig (V1_BCK)'!$C:$C,MATCH($B360,'Orig (V1_BCK)'!$C:$C,0),1)</f>
        <v>#N/A</v>
      </c>
      <c r="B360" s="3" t="str">
        <f t="shared" si="5"/>
        <v>N5301720--</v>
      </c>
      <c r="C360" s="2" t="s">
        <v>1638</v>
      </c>
      <c r="D360" s="2" t="s">
        <v>1639</v>
      </c>
      <c r="E360" s="2" t="s">
        <v>1640</v>
      </c>
      <c r="F360" s="2" t="s">
        <v>1641</v>
      </c>
      <c r="G360" s="2" t="s">
        <v>2514</v>
      </c>
      <c r="H360" s="2" t="s">
        <v>1642</v>
      </c>
      <c r="I360" s="2"/>
      <c r="J360" s="2"/>
      <c r="K360" s="2" t="s">
        <v>1312</v>
      </c>
      <c r="L360" s="2"/>
      <c r="M360" s="2"/>
      <c r="N360" s="2"/>
      <c r="O360" s="2"/>
      <c r="P360" s="2"/>
      <c r="Q360" s="2"/>
      <c r="R360" s="2"/>
      <c r="S360" s="2"/>
      <c r="T360" s="2" t="s">
        <v>2041</v>
      </c>
    </row>
    <row r="361" spans="1:20" hidden="1" x14ac:dyDescent="0.25">
      <c r="A361" t="e">
        <f>INDEX('Orig (V1_BCK)'!$C:$C,MATCH($B361,'Orig (V1_BCK)'!$C:$C,0),1)</f>
        <v>#N/A</v>
      </c>
      <c r="B361" s="3" t="str">
        <f t="shared" si="5"/>
        <v>N8650153--</v>
      </c>
      <c r="C361" s="2" t="s">
        <v>1419</v>
      </c>
      <c r="D361" s="2" t="s">
        <v>1420</v>
      </c>
      <c r="E361" s="2" t="s">
        <v>1421</v>
      </c>
      <c r="F361" s="2" t="s">
        <v>1358</v>
      </c>
      <c r="G361" s="2" t="s">
        <v>2450</v>
      </c>
      <c r="H361" s="2" t="s">
        <v>1422</v>
      </c>
      <c r="I361" s="2"/>
      <c r="J361" s="2"/>
      <c r="K361" s="2" t="s">
        <v>1312</v>
      </c>
      <c r="L361" s="2"/>
      <c r="M361" s="2"/>
      <c r="N361" s="2"/>
      <c r="O361" s="2"/>
      <c r="P361" s="2"/>
      <c r="Q361" s="2"/>
      <c r="R361" s="2"/>
      <c r="S361" s="2"/>
      <c r="T361" s="2" t="s">
        <v>2080</v>
      </c>
    </row>
    <row r="362" spans="1:20" hidden="1" x14ac:dyDescent="0.25">
      <c r="A362" t="e">
        <f>INDEX('Orig (V1_BCK)'!$C:$C,MATCH($B362,'Orig (V1_BCK)'!$C:$C,0),1)</f>
        <v>#N/A</v>
      </c>
      <c r="B362" s="3" t="str">
        <f t="shared" si="5"/>
        <v>O0854516--</v>
      </c>
      <c r="C362" s="2" t="s">
        <v>1482</v>
      </c>
      <c r="D362" s="2" t="s">
        <v>1071</v>
      </c>
      <c r="E362" s="2" t="s">
        <v>525</v>
      </c>
      <c r="F362" s="2" t="s">
        <v>74</v>
      </c>
      <c r="G362" s="2" t="s">
        <v>2468</v>
      </c>
      <c r="H362" s="2" t="s">
        <v>1483</v>
      </c>
      <c r="I362" s="2"/>
      <c r="J362" s="2"/>
      <c r="K362" s="2" t="s">
        <v>1312</v>
      </c>
      <c r="L362" s="2"/>
      <c r="M362" s="2"/>
      <c r="N362" s="2"/>
      <c r="O362" s="2"/>
      <c r="P362" s="2"/>
      <c r="Q362" s="2"/>
      <c r="R362" s="2"/>
      <c r="S362" s="2"/>
      <c r="T362" s="2" t="s">
        <v>2375</v>
      </c>
    </row>
    <row r="363" spans="1:20" ht="45" hidden="1" x14ac:dyDescent="0.25">
      <c r="A363" t="e">
        <f>INDEX('Orig (V1_BCK)'!$C:$C,MATCH($B363,'Orig (V1_BCK)'!$C:$C,0),1)</f>
        <v>#N/A</v>
      </c>
      <c r="B363" s="3" t="str">
        <f t="shared" si="5"/>
        <v>O5468989--</v>
      </c>
      <c r="C363" s="2" t="s">
        <v>1806</v>
      </c>
      <c r="D363" s="2" t="s">
        <v>1071</v>
      </c>
      <c r="E363" s="2" t="s">
        <v>1807</v>
      </c>
      <c r="F363" s="2" t="s">
        <v>1808</v>
      </c>
      <c r="G363" s="2" t="s">
        <v>2563</v>
      </c>
      <c r="H363" s="2" t="s">
        <v>1809</v>
      </c>
      <c r="I363" s="2"/>
      <c r="J363" s="2"/>
      <c r="K363" s="2" t="s">
        <v>1312</v>
      </c>
      <c r="L363" s="2"/>
      <c r="M363" s="2"/>
      <c r="N363" s="2"/>
      <c r="O363" s="2"/>
      <c r="P363" s="2"/>
      <c r="Q363" s="2"/>
      <c r="R363" s="2"/>
      <c r="S363" s="2"/>
      <c r="T363" s="2" t="s">
        <v>2041</v>
      </c>
    </row>
    <row r="364" spans="1:20" hidden="1" x14ac:dyDescent="0.25">
      <c r="A364" t="e">
        <f>INDEX('Orig (V1_BCK)'!$C:$C,MATCH($B364,'Orig (V1_BCK)'!$C:$C,0),1)</f>
        <v>#N/A</v>
      </c>
      <c r="B364" s="3" t="str">
        <f t="shared" si="5"/>
        <v>O5993360--</v>
      </c>
      <c r="C364" s="2" t="s">
        <v>1540</v>
      </c>
      <c r="D364" s="2" t="s">
        <v>1071</v>
      </c>
      <c r="E364" s="2" t="s">
        <v>1541</v>
      </c>
      <c r="F364" s="2" t="s">
        <v>1542</v>
      </c>
      <c r="G364" s="2" t="s">
        <v>2486</v>
      </c>
      <c r="H364" s="2" t="s">
        <v>1543</v>
      </c>
      <c r="I364" s="2"/>
      <c r="J364" s="2"/>
      <c r="K364" s="2" t="s">
        <v>1312</v>
      </c>
      <c r="L364" s="2"/>
      <c r="M364" s="2"/>
      <c r="N364" s="2"/>
      <c r="O364" s="2"/>
      <c r="P364" s="2"/>
      <c r="Q364" s="2"/>
      <c r="R364" s="2"/>
      <c r="S364" s="2"/>
      <c r="T364" s="2" t="s">
        <v>2083</v>
      </c>
    </row>
    <row r="365" spans="1:20" hidden="1" x14ac:dyDescent="0.25">
      <c r="A365" t="str">
        <f>INDEX('Orig (V1_BCK)'!$C:$C,MATCH($B365,'Orig (V1_BCK)'!$C:$C,0),1)</f>
        <v>O6624891-O6624891-</v>
      </c>
      <c r="B365" s="3" t="str">
        <f t="shared" si="5"/>
        <v>O6624891-O6624891-</v>
      </c>
      <c r="C365" s="2" t="s">
        <v>1070</v>
      </c>
      <c r="D365" s="2" t="s">
        <v>1071</v>
      </c>
      <c r="E365" s="2" t="s">
        <v>1072</v>
      </c>
      <c r="F365" s="2" t="s">
        <v>1073</v>
      </c>
      <c r="G365" s="2" t="s">
        <v>2334</v>
      </c>
      <c r="H365" s="2" t="s">
        <v>1074</v>
      </c>
      <c r="I365" s="2" t="s">
        <v>1070</v>
      </c>
      <c r="J365" s="2"/>
      <c r="K365" s="2" t="s">
        <v>2335</v>
      </c>
      <c r="L365" s="2" t="s">
        <v>1071</v>
      </c>
      <c r="M365" s="2"/>
      <c r="N365" s="2" t="s">
        <v>1072</v>
      </c>
      <c r="O365" s="2"/>
      <c r="P365" s="2" t="s">
        <v>1073</v>
      </c>
      <c r="Q365" s="2"/>
      <c r="R365" s="2"/>
      <c r="S365" s="2"/>
      <c r="T365" s="2" t="s">
        <v>2071</v>
      </c>
    </row>
    <row r="366" spans="1:20" ht="30" hidden="1" x14ac:dyDescent="0.25">
      <c r="A366" t="str">
        <f>INDEX('Orig (V1_BCK)'!$C:$C,MATCH($B366,'Orig (V1_BCK)'!$C:$C,0),1)</f>
        <v>O7468594--J5549918</v>
      </c>
      <c r="B366" s="3" t="str">
        <f t="shared" si="5"/>
        <v>O7468594--J5549918</v>
      </c>
      <c r="C366" s="2" t="s">
        <v>506</v>
      </c>
      <c r="D366" s="2" t="s">
        <v>507</v>
      </c>
      <c r="E366" s="2" t="s">
        <v>508</v>
      </c>
      <c r="F366" s="2" t="s">
        <v>21</v>
      </c>
      <c r="G366" s="2" t="s">
        <v>2109</v>
      </c>
      <c r="H366" s="2" t="s">
        <v>445</v>
      </c>
      <c r="I366" s="2"/>
      <c r="J366" s="2" t="s">
        <v>446</v>
      </c>
      <c r="K366" s="2" t="s">
        <v>2082</v>
      </c>
      <c r="L366" s="2"/>
      <c r="M366" s="2" t="s">
        <v>438</v>
      </c>
      <c r="N366" s="2"/>
      <c r="O366" s="2" t="s">
        <v>447</v>
      </c>
      <c r="P366" s="2"/>
      <c r="Q366" s="2" t="s">
        <v>448</v>
      </c>
      <c r="R366" s="2"/>
      <c r="S366" s="2"/>
      <c r="T366" s="2" t="s">
        <v>2083</v>
      </c>
    </row>
    <row r="367" spans="1:20" ht="30" hidden="1" x14ac:dyDescent="0.25">
      <c r="A367" t="str">
        <f>INDEX('Orig (V1_BCK)'!$C:$C,MATCH($B367,'Orig (V1_BCK)'!$C:$C,0),1)</f>
        <v>O9997435-O9997435-</v>
      </c>
      <c r="B367" s="3" t="str">
        <f t="shared" si="5"/>
        <v>O9997435-O9997435-</v>
      </c>
      <c r="C367" s="2" t="s">
        <v>589</v>
      </c>
      <c r="D367" s="2" t="s">
        <v>590</v>
      </c>
      <c r="E367" s="2" t="s">
        <v>591</v>
      </c>
      <c r="F367" s="2" t="s">
        <v>592</v>
      </c>
      <c r="G367" s="2" t="s">
        <v>2144</v>
      </c>
      <c r="H367" s="2" t="s">
        <v>593</v>
      </c>
      <c r="I367" s="2" t="s">
        <v>589</v>
      </c>
      <c r="J367" s="2"/>
      <c r="K367" s="2" t="s">
        <v>2145</v>
      </c>
      <c r="L367" s="2" t="s">
        <v>590</v>
      </c>
      <c r="M367" s="2"/>
      <c r="N367" s="2" t="s">
        <v>591</v>
      </c>
      <c r="O367" s="2"/>
      <c r="P367" s="2" t="s">
        <v>592</v>
      </c>
      <c r="Q367" s="2"/>
      <c r="R367" s="2"/>
      <c r="S367" s="2"/>
      <c r="T367" s="2" t="s">
        <v>2038</v>
      </c>
    </row>
    <row r="368" spans="1:20" ht="45" hidden="1" x14ac:dyDescent="0.25">
      <c r="A368" t="e">
        <f>INDEX('Orig (V1_BCK)'!$C:$C,MATCH($B368,'Orig (V1_BCK)'!$C:$C,0),1)</f>
        <v>#N/A</v>
      </c>
      <c r="B368" s="3" t="str">
        <f t="shared" si="5"/>
        <v>P0689324--</v>
      </c>
      <c r="C368" s="2" t="s">
        <v>1398</v>
      </c>
      <c r="D368" s="2" t="s">
        <v>1399</v>
      </c>
      <c r="E368" s="2" t="s">
        <v>1400</v>
      </c>
      <c r="F368" s="2" t="s">
        <v>557</v>
      </c>
      <c r="G368" s="2" t="s">
        <v>2443</v>
      </c>
      <c r="H368" s="2" t="s">
        <v>1401</v>
      </c>
      <c r="I368" s="2"/>
      <c r="J368" s="2"/>
      <c r="K368" s="2" t="s">
        <v>1312</v>
      </c>
      <c r="L368" s="2"/>
      <c r="M368" s="2"/>
      <c r="N368" s="2"/>
      <c r="O368" s="2"/>
      <c r="P368" s="2"/>
      <c r="Q368" s="2"/>
      <c r="R368" s="2"/>
      <c r="S368" s="2"/>
      <c r="T368" s="2" t="s">
        <v>2397</v>
      </c>
    </row>
    <row r="369" spans="1:20" ht="30" hidden="1" x14ac:dyDescent="0.25">
      <c r="A369" t="e">
        <f>INDEX('Orig (V1_BCK)'!$C:$C,MATCH($B369,'Orig (V1_BCK)'!$C:$C,0),1)</f>
        <v>#N/A</v>
      </c>
      <c r="B369" s="3" t="str">
        <f t="shared" si="5"/>
        <v>P0779913--</v>
      </c>
      <c r="C369" s="2" t="s">
        <v>1734</v>
      </c>
      <c r="D369" s="2" t="s">
        <v>519</v>
      </c>
      <c r="E369" s="2" t="s">
        <v>1735</v>
      </c>
      <c r="F369" s="2" t="s">
        <v>1736</v>
      </c>
      <c r="G369" s="2" t="s">
        <v>2543</v>
      </c>
      <c r="H369" s="2" t="s">
        <v>1737</v>
      </c>
      <c r="I369" s="2"/>
      <c r="J369" s="2"/>
      <c r="K369" s="2" t="s">
        <v>1312</v>
      </c>
      <c r="L369" s="2"/>
      <c r="M369" s="2"/>
      <c r="N369" s="2"/>
      <c r="O369" s="2"/>
      <c r="P369" s="2"/>
      <c r="Q369" s="2"/>
      <c r="R369" s="2"/>
      <c r="S369" s="2"/>
      <c r="T369" s="2" t="s">
        <v>47</v>
      </c>
    </row>
    <row r="370" spans="1:20" ht="30" hidden="1" x14ac:dyDescent="0.25">
      <c r="A370" t="e">
        <f>INDEX('Orig (V1_BCK)'!$C:$C,MATCH($B370,'Orig (V1_BCK)'!$C:$C,0),1)</f>
        <v>#N/A</v>
      </c>
      <c r="B370" s="3" t="str">
        <f t="shared" si="5"/>
        <v>P1347347--</v>
      </c>
      <c r="C370" s="2" t="s">
        <v>1313</v>
      </c>
      <c r="D370" s="2" t="s">
        <v>1314</v>
      </c>
      <c r="E370" s="2" t="s">
        <v>1315</v>
      </c>
      <c r="F370" s="2" t="s">
        <v>463</v>
      </c>
      <c r="G370" s="2" t="s">
        <v>2415</v>
      </c>
      <c r="H370" s="2" t="s">
        <v>1316</v>
      </c>
      <c r="I370" s="2"/>
      <c r="J370" s="2"/>
      <c r="K370" s="2" t="s">
        <v>1312</v>
      </c>
      <c r="L370" s="2"/>
      <c r="M370" s="2"/>
      <c r="N370" s="2"/>
      <c r="O370" s="2"/>
      <c r="P370" s="2"/>
      <c r="Q370" s="2"/>
      <c r="R370" s="2"/>
      <c r="S370" s="2"/>
      <c r="T370" s="2" t="s">
        <v>2080</v>
      </c>
    </row>
    <row r="371" spans="1:20" ht="30" hidden="1" x14ac:dyDescent="0.25">
      <c r="A371" t="e">
        <f>INDEX('Orig (V1_BCK)'!$C:$C,MATCH($B371,'Orig (V1_BCK)'!$C:$C,0),1)</f>
        <v>#N/A</v>
      </c>
      <c r="B371" s="3" t="str">
        <f t="shared" si="5"/>
        <v>P2114181--</v>
      </c>
      <c r="C371" s="2" t="s">
        <v>1595</v>
      </c>
      <c r="D371" s="2" t="s">
        <v>1596</v>
      </c>
      <c r="E371" s="2" t="s">
        <v>29</v>
      </c>
      <c r="F371" s="2" t="s">
        <v>712</v>
      </c>
      <c r="G371" s="2" t="s">
        <v>2501</v>
      </c>
      <c r="H371" s="2" t="s">
        <v>1597</v>
      </c>
      <c r="I371" s="2"/>
      <c r="J371" s="2"/>
      <c r="K371" s="2" t="s">
        <v>1312</v>
      </c>
      <c r="L371" s="2"/>
      <c r="M371" s="2"/>
      <c r="N371" s="2"/>
      <c r="O371" s="2"/>
      <c r="P371" s="2"/>
      <c r="Q371" s="2"/>
      <c r="R371" s="2"/>
      <c r="S371" s="2"/>
      <c r="T371" s="2" t="s">
        <v>2038</v>
      </c>
    </row>
    <row r="372" spans="1:20" hidden="1" x14ac:dyDescent="0.25">
      <c r="A372" t="str">
        <f>INDEX('Orig (V1_BCK)'!$C:$C,MATCH($B372,'Orig (V1_BCK)'!$C:$C,0),1)</f>
        <v>P4089833-P4089833-</v>
      </c>
      <c r="B372" s="3" t="str">
        <f t="shared" si="5"/>
        <v>P4089833-P4089833-</v>
      </c>
      <c r="C372" s="2" t="s">
        <v>518</v>
      </c>
      <c r="D372" s="2" t="s">
        <v>519</v>
      </c>
      <c r="E372" s="2" t="s">
        <v>520</v>
      </c>
      <c r="F372" s="2" t="s">
        <v>521</v>
      </c>
      <c r="G372" s="2" t="s">
        <v>2113</v>
      </c>
      <c r="H372" s="2" t="s">
        <v>522</v>
      </c>
      <c r="I372" s="2" t="s">
        <v>518</v>
      </c>
      <c r="J372" s="2"/>
      <c r="K372" s="2" t="s">
        <v>2114</v>
      </c>
      <c r="L372" s="2" t="s">
        <v>519</v>
      </c>
      <c r="M372" s="2"/>
      <c r="N372" s="2" t="s">
        <v>520</v>
      </c>
      <c r="O372" s="2"/>
      <c r="P372" s="2" t="s">
        <v>521</v>
      </c>
      <c r="Q372" s="2"/>
      <c r="R372" s="2"/>
      <c r="S372" s="2"/>
      <c r="T372" s="2" t="s">
        <v>2071</v>
      </c>
    </row>
    <row r="373" spans="1:20" hidden="1" x14ac:dyDescent="0.25">
      <c r="A373" t="str">
        <f>INDEX('Orig (V1_BCK)'!$C:$C,MATCH($B373,'Orig (V1_BCK)'!$C:$C,0),1)</f>
        <v>P4163844--M4465700</v>
      </c>
      <c r="B373" s="3" t="str">
        <f t="shared" si="5"/>
        <v>P4163844--M4465700</v>
      </c>
      <c r="C373" s="2" t="s">
        <v>1113</v>
      </c>
      <c r="D373" s="2" t="s">
        <v>58</v>
      </c>
      <c r="E373" s="2" t="s">
        <v>1114</v>
      </c>
      <c r="F373" s="2" t="s">
        <v>1115</v>
      </c>
      <c r="G373" s="2" t="s">
        <v>2352</v>
      </c>
      <c r="H373" s="2" t="s">
        <v>2352</v>
      </c>
      <c r="I373" s="2"/>
      <c r="J373" s="2" t="s">
        <v>1109</v>
      </c>
      <c r="K373" s="2" t="s">
        <v>2351</v>
      </c>
      <c r="L373" s="2"/>
      <c r="M373" s="2" t="s">
        <v>820</v>
      </c>
      <c r="N373" s="2"/>
      <c r="O373" s="2" t="s">
        <v>1110</v>
      </c>
      <c r="P373" s="2"/>
      <c r="Q373" s="2" t="s">
        <v>1111</v>
      </c>
      <c r="R373" s="2"/>
      <c r="S373" s="2"/>
      <c r="T373" s="2" t="s">
        <v>2083</v>
      </c>
    </row>
    <row r="374" spans="1:20" ht="30" hidden="1" x14ac:dyDescent="0.25">
      <c r="A374" t="e">
        <f>INDEX('Orig (V1_BCK)'!$C:$C,MATCH($B374,'Orig (V1_BCK)'!$C:$C,0),1)</f>
        <v>#N/A</v>
      </c>
      <c r="B374" s="3" t="str">
        <f t="shared" si="5"/>
        <v>P5413135--</v>
      </c>
      <c r="C374" s="2" t="s">
        <v>1461</v>
      </c>
      <c r="D374" s="2" t="s">
        <v>1462</v>
      </c>
      <c r="E374" s="2" t="s">
        <v>1463</v>
      </c>
      <c r="F374" s="2" t="s">
        <v>1464</v>
      </c>
      <c r="G374" s="2" t="s">
        <v>2461</v>
      </c>
      <c r="H374" s="2" t="s">
        <v>1465</v>
      </c>
      <c r="I374" s="2"/>
      <c r="J374" s="2"/>
      <c r="K374" s="2" t="s">
        <v>1312</v>
      </c>
      <c r="L374" s="2"/>
      <c r="M374" s="2"/>
      <c r="N374" s="2"/>
      <c r="O374" s="2"/>
      <c r="P374" s="2"/>
      <c r="Q374" s="2"/>
      <c r="R374" s="2"/>
      <c r="S374" s="2"/>
      <c r="T374" s="2" t="s">
        <v>2381</v>
      </c>
    </row>
    <row r="375" spans="1:20" ht="30" hidden="1" x14ac:dyDescent="0.25">
      <c r="A375" t="str">
        <f>INDEX('Orig (V1_BCK)'!$C:$C,MATCH($B375,'Orig (V1_BCK)'!$C:$C,0),1)</f>
        <v>P5933312-P5933312-</v>
      </c>
      <c r="B375" s="3" t="str">
        <f t="shared" si="5"/>
        <v>P5933312-P5933312-</v>
      </c>
      <c r="C375" s="2" t="s">
        <v>786</v>
      </c>
      <c r="D375" s="2" t="s">
        <v>787</v>
      </c>
      <c r="E375" s="2" t="s">
        <v>788</v>
      </c>
      <c r="F375" s="2" t="s">
        <v>789</v>
      </c>
      <c r="G375" s="2" t="s">
        <v>2217</v>
      </c>
      <c r="H375" s="2" t="s">
        <v>790</v>
      </c>
      <c r="I375" s="2" t="s">
        <v>786</v>
      </c>
      <c r="J375" s="2"/>
      <c r="K375" s="2" t="s">
        <v>2218</v>
      </c>
      <c r="L375" s="2" t="s">
        <v>787</v>
      </c>
      <c r="M375" s="2"/>
      <c r="N375" s="2" t="s">
        <v>788</v>
      </c>
      <c r="O375" s="2"/>
      <c r="P375" s="2" t="s">
        <v>789</v>
      </c>
      <c r="Q375" s="2"/>
      <c r="R375" s="2"/>
      <c r="S375" s="2"/>
      <c r="T375" s="2" t="s">
        <v>2038</v>
      </c>
    </row>
    <row r="376" spans="1:20" hidden="1" x14ac:dyDescent="0.25">
      <c r="A376" t="str">
        <f>INDEX('Orig (V1_BCK)'!$C:$C,MATCH($B376,'Orig (V1_BCK)'!$C:$C,0),1)</f>
        <v>P6179430--Y2236249</v>
      </c>
      <c r="B376" s="3" t="str">
        <f t="shared" si="5"/>
        <v>P6179430--Y2236249</v>
      </c>
      <c r="C376" s="2" t="s">
        <v>886</v>
      </c>
      <c r="D376" s="2" t="s">
        <v>887</v>
      </c>
      <c r="E376" s="2" t="s">
        <v>888</v>
      </c>
      <c r="F376" s="2" t="s">
        <v>889</v>
      </c>
      <c r="G376" s="2" t="s">
        <v>2248</v>
      </c>
      <c r="H376" s="2" t="s">
        <v>890</v>
      </c>
      <c r="I376" s="2"/>
      <c r="J376" s="2" t="s">
        <v>782</v>
      </c>
      <c r="K376" s="2" t="s">
        <v>2216</v>
      </c>
      <c r="L376" s="2"/>
      <c r="M376" s="2" t="s">
        <v>783</v>
      </c>
      <c r="N376" s="2"/>
      <c r="O376" s="2" t="s">
        <v>784</v>
      </c>
      <c r="P376" s="2"/>
      <c r="Q376" s="2" t="s">
        <v>8</v>
      </c>
      <c r="R376" s="2"/>
      <c r="S376" s="2"/>
      <c r="T376" s="2" t="s">
        <v>2083</v>
      </c>
    </row>
    <row r="377" spans="1:20" hidden="1" x14ac:dyDescent="0.25">
      <c r="A377" t="str">
        <f>INDEX('Orig (V1_BCK)'!$C:$C,MATCH($B377,'Orig (V1_BCK)'!$C:$C,0),1)</f>
        <v>P6308213-P6308213-</v>
      </c>
      <c r="B377" s="3" t="str">
        <f t="shared" si="5"/>
        <v>P6308213-P6308213-</v>
      </c>
      <c r="C377" s="2" t="s">
        <v>559</v>
      </c>
      <c r="D377" s="2" t="s">
        <v>560</v>
      </c>
      <c r="E377" s="2" t="s">
        <v>561</v>
      </c>
      <c r="F377" s="2" t="s">
        <v>448</v>
      </c>
      <c r="G377" s="2" t="s">
        <v>2131</v>
      </c>
      <c r="H377" s="2" t="s">
        <v>562</v>
      </c>
      <c r="I377" s="2" t="s">
        <v>559</v>
      </c>
      <c r="J377" s="2"/>
      <c r="K377" s="2" t="s">
        <v>2132</v>
      </c>
      <c r="L377" s="2" t="s">
        <v>560</v>
      </c>
      <c r="M377" s="2"/>
      <c r="N377" s="2" t="s">
        <v>561</v>
      </c>
      <c r="O377" s="2"/>
      <c r="P377" s="2" t="s">
        <v>448</v>
      </c>
      <c r="Q377" s="2"/>
      <c r="R377" s="2"/>
      <c r="S377" s="2"/>
      <c r="T377" s="2" t="s">
        <v>47</v>
      </c>
    </row>
    <row r="378" spans="1:20" hidden="1" x14ac:dyDescent="0.25">
      <c r="A378" t="str">
        <f>INDEX('Orig (V1_BCK)'!$C:$C,MATCH($B378,'Orig (V1_BCK)'!$C:$C,0),1)</f>
        <v>P6842735--J1842217</v>
      </c>
      <c r="B378" s="3" t="str">
        <f t="shared" si="5"/>
        <v>P6842735--J1842217</v>
      </c>
      <c r="C378" s="2" t="s">
        <v>641</v>
      </c>
      <c r="D378" s="2" t="s">
        <v>58</v>
      </c>
      <c r="E378" s="2" t="s">
        <v>642</v>
      </c>
      <c r="F378" s="2" t="s">
        <v>643</v>
      </c>
      <c r="G378" s="2" t="s">
        <v>2164</v>
      </c>
      <c r="H378" s="2" t="s">
        <v>644</v>
      </c>
      <c r="I378" s="2"/>
      <c r="J378" s="2" t="s">
        <v>457</v>
      </c>
      <c r="K378" s="2" t="s">
        <v>2087</v>
      </c>
      <c r="L378" s="2"/>
      <c r="M378" s="2" t="s">
        <v>458</v>
      </c>
      <c r="N378" s="2"/>
      <c r="O378" s="2" t="s">
        <v>459</v>
      </c>
      <c r="P378" s="2"/>
      <c r="Q378" s="2" t="s">
        <v>460</v>
      </c>
      <c r="R378" s="2"/>
      <c r="S378" s="2"/>
      <c r="T378" s="2" t="s">
        <v>2083</v>
      </c>
    </row>
    <row r="379" spans="1:20" ht="30" hidden="1" x14ac:dyDescent="0.25">
      <c r="A379" t="e">
        <f>INDEX('Orig (V1_BCK)'!$C:$C,MATCH($B379,'Orig (V1_BCK)'!$C:$C,0),1)</f>
        <v>#N/A</v>
      </c>
      <c r="B379" s="3" t="str">
        <f t="shared" si="5"/>
        <v>P7043946--</v>
      </c>
      <c r="C379" s="2" t="s">
        <v>1357</v>
      </c>
      <c r="D379" s="2" t="s">
        <v>58</v>
      </c>
      <c r="E379" s="2" t="s">
        <v>1358</v>
      </c>
      <c r="F379" s="2" t="s">
        <v>11</v>
      </c>
      <c r="G379" s="2" t="s">
        <v>2428</v>
      </c>
      <c r="H379" s="2" t="s">
        <v>1359</v>
      </c>
      <c r="I379" s="2"/>
      <c r="J379" s="2"/>
      <c r="K379" s="2" t="s">
        <v>1312</v>
      </c>
      <c r="L379" s="2"/>
      <c r="M379" s="2"/>
      <c r="N379" s="2"/>
      <c r="O379" s="2"/>
      <c r="P379" s="2"/>
      <c r="Q379" s="2"/>
      <c r="R379" s="2"/>
      <c r="S379" s="2"/>
      <c r="T379" s="2" t="s">
        <v>2378</v>
      </c>
    </row>
    <row r="380" spans="1:20" ht="30" hidden="1" x14ac:dyDescent="0.25">
      <c r="A380" t="e">
        <f>INDEX('Orig (V1_BCK)'!$C:$C,MATCH($B380,'Orig (V1_BCK)'!$C:$C,0),1)</f>
        <v>#N/A</v>
      </c>
      <c r="B380" s="3" t="str">
        <f t="shared" si="5"/>
        <v>P7288996--</v>
      </c>
      <c r="C380" s="2" t="s">
        <v>1901</v>
      </c>
      <c r="D380" s="2" t="s">
        <v>1902</v>
      </c>
      <c r="E380" s="2" t="s">
        <v>704</v>
      </c>
      <c r="F380" s="2" t="s">
        <v>1903</v>
      </c>
      <c r="G380" s="2" t="s">
        <v>2591</v>
      </c>
      <c r="H380" s="2" t="s">
        <v>1904</v>
      </c>
      <c r="I380" s="2"/>
      <c r="J380" s="2"/>
      <c r="K380" s="2" t="s">
        <v>1312</v>
      </c>
      <c r="L380" s="2"/>
      <c r="M380" s="2"/>
      <c r="N380" s="2"/>
      <c r="O380" s="2"/>
      <c r="P380" s="2"/>
      <c r="Q380" s="2"/>
      <c r="R380" s="2"/>
      <c r="S380" s="2"/>
      <c r="T380" s="2" t="s">
        <v>2038</v>
      </c>
    </row>
    <row r="381" spans="1:20" hidden="1" x14ac:dyDescent="0.25">
      <c r="A381" t="str">
        <f>INDEX('Orig (V1_BCK)'!$C:$C,MATCH($B381,'Orig (V1_BCK)'!$C:$C,0),1)</f>
        <v>P7416302-P7416302-</v>
      </c>
      <c r="B381" s="3" t="str">
        <f t="shared" si="5"/>
        <v>P7416302-P7416302-</v>
      </c>
      <c r="C381" s="2" t="s">
        <v>57</v>
      </c>
      <c r="D381" s="2" t="s">
        <v>58</v>
      </c>
      <c r="E381" s="2" t="s">
        <v>59</v>
      </c>
      <c r="F381" s="2" t="s">
        <v>60</v>
      </c>
      <c r="G381" s="2" t="s">
        <v>2057</v>
      </c>
      <c r="H381" s="2" t="s">
        <v>61</v>
      </c>
      <c r="I381" s="2" t="s">
        <v>57</v>
      </c>
      <c r="J381" s="2"/>
      <c r="K381" s="2" t="s">
        <v>2058</v>
      </c>
      <c r="L381" s="2" t="s">
        <v>58</v>
      </c>
      <c r="M381" s="2"/>
      <c r="N381" s="2" t="s">
        <v>59</v>
      </c>
      <c r="O381" s="2"/>
      <c r="P381" s="2" t="s">
        <v>60</v>
      </c>
      <c r="Q381" s="2"/>
      <c r="R381" s="2"/>
      <c r="S381" s="2"/>
      <c r="T381" s="2" t="s">
        <v>47</v>
      </c>
    </row>
    <row r="382" spans="1:20" ht="30" hidden="1" x14ac:dyDescent="0.25">
      <c r="A382" t="e">
        <f>INDEX('Orig (V1_BCK)'!$C:$C,MATCH($B382,'Orig (V1_BCK)'!$C:$C,0),1)</f>
        <v>#N/A</v>
      </c>
      <c r="B382" s="3" t="str">
        <f t="shared" si="5"/>
        <v>P7437885--</v>
      </c>
      <c r="C382" s="2" t="s">
        <v>1927</v>
      </c>
      <c r="D382" s="2" t="s">
        <v>58</v>
      </c>
      <c r="E382" s="2" t="s">
        <v>1928</v>
      </c>
      <c r="F382" s="2" t="s">
        <v>1929</v>
      </c>
      <c r="G382" s="2" t="s">
        <v>2599</v>
      </c>
      <c r="H382" s="2" t="s">
        <v>1930</v>
      </c>
      <c r="I382" s="2"/>
      <c r="J382" s="2"/>
      <c r="K382" s="2" t="s">
        <v>1312</v>
      </c>
      <c r="L382" s="2"/>
      <c r="M382" s="2"/>
      <c r="N382" s="2"/>
      <c r="O382" s="2"/>
      <c r="P382" s="2"/>
      <c r="Q382" s="2"/>
      <c r="R382" s="2"/>
      <c r="S382" s="2"/>
      <c r="T382" s="2" t="s">
        <v>2041</v>
      </c>
    </row>
    <row r="383" spans="1:20" hidden="1" x14ac:dyDescent="0.25">
      <c r="A383" t="str">
        <f>INDEX('Orig (V1_BCK)'!$C:$C,MATCH($B383,'Orig (V1_BCK)'!$C:$C,0),1)</f>
        <v>P8661589-P8661589-</v>
      </c>
      <c r="B383" s="3" t="str">
        <f t="shared" si="5"/>
        <v>P8661589-P8661589-</v>
      </c>
      <c r="C383" s="2" t="s">
        <v>1142</v>
      </c>
      <c r="D383" s="2" t="s">
        <v>1143</v>
      </c>
      <c r="E383" s="2" t="s">
        <v>1144</v>
      </c>
      <c r="F383" s="2" t="s">
        <v>1145</v>
      </c>
      <c r="G383" s="2" t="s">
        <v>2366</v>
      </c>
      <c r="H383" s="2" t="s">
        <v>1146</v>
      </c>
      <c r="I383" s="2" t="s">
        <v>1142</v>
      </c>
      <c r="J383" s="2"/>
      <c r="K383" s="2" t="s">
        <v>2367</v>
      </c>
      <c r="L383" s="2" t="s">
        <v>1143</v>
      </c>
      <c r="M383" s="2"/>
      <c r="N383" s="2" t="s">
        <v>1144</v>
      </c>
      <c r="O383" s="2"/>
      <c r="P383" s="2" t="s">
        <v>1145</v>
      </c>
      <c r="Q383" s="2"/>
      <c r="R383" s="2"/>
      <c r="S383" s="2"/>
      <c r="T383" s="2" t="s">
        <v>2080</v>
      </c>
    </row>
    <row r="384" spans="1:20" hidden="1" x14ac:dyDescent="0.25">
      <c r="A384" t="e">
        <f>INDEX('Orig (V1_BCK)'!$C:$C,MATCH($B384,'Orig (V1_BCK)'!$C:$C,0),1)</f>
        <v>#N/A</v>
      </c>
      <c r="B384" s="3" t="str">
        <f t="shared" si="5"/>
        <v>P9005644--</v>
      </c>
      <c r="C384" s="2" t="s">
        <v>1344</v>
      </c>
      <c r="D384" s="2" t="s">
        <v>1345</v>
      </c>
      <c r="E384" s="2" t="s">
        <v>1346</v>
      </c>
      <c r="F384" s="2" t="s">
        <v>1347</v>
      </c>
      <c r="G384" s="2" t="s">
        <v>2423</v>
      </c>
      <c r="H384" s="2" t="s">
        <v>1348</v>
      </c>
      <c r="I384" s="2"/>
      <c r="J384" s="2"/>
      <c r="K384" s="2" t="s">
        <v>1312</v>
      </c>
      <c r="L384" s="2"/>
      <c r="M384" s="2"/>
      <c r="N384" s="2"/>
      <c r="O384" s="2"/>
      <c r="P384" s="2"/>
      <c r="Q384" s="2"/>
      <c r="R384" s="2"/>
      <c r="S384" s="2"/>
      <c r="T384" s="2" t="s">
        <v>2080</v>
      </c>
    </row>
    <row r="385" spans="1:20" hidden="1" x14ac:dyDescent="0.25">
      <c r="A385" t="str">
        <f>INDEX('Orig (V1_BCK)'!$C:$C,MATCH($B385,'Orig (V1_BCK)'!$C:$C,0),1)</f>
        <v>R0171065-R0171065-</v>
      </c>
      <c r="B385" s="3" t="str">
        <f t="shared" si="5"/>
        <v>R0171065-R0171065-</v>
      </c>
      <c r="C385" s="2" t="s">
        <v>958</v>
      </c>
      <c r="D385" s="2" t="s">
        <v>610</v>
      </c>
      <c r="E385" s="2" t="s">
        <v>959</v>
      </c>
      <c r="F385" s="2" t="s">
        <v>960</v>
      </c>
      <c r="G385" s="2" t="s">
        <v>2277</v>
      </c>
      <c r="H385" s="2" t="s">
        <v>961</v>
      </c>
      <c r="I385" s="2" t="s">
        <v>958</v>
      </c>
      <c r="J385" s="2"/>
      <c r="K385" s="2" t="s">
        <v>2278</v>
      </c>
      <c r="L385" s="2" t="s">
        <v>610</v>
      </c>
      <c r="M385" s="2"/>
      <c r="N385" s="2" t="s">
        <v>959</v>
      </c>
      <c r="O385" s="2"/>
      <c r="P385" s="2" t="s">
        <v>960</v>
      </c>
      <c r="Q385" s="2"/>
      <c r="R385" s="2"/>
      <c r="S385" s="2"/>
      <c r="T385" s="2" t="s">
        <v>2038</v>
      </c>
    </row>
    <row r="386" spans="1:20" ht="30" hidden="1" x14ac:dyDescent="0.25">
      <c r="A386" t="e">
        <f>INDEX('Orig (V1_BCK)'!$C:$C,MATCH($B386,'Orig (V1_BCK)'!$C:$C,0),1)</f>
        <v>#N/A</v>
      </c>
      <c r="B386" s="3" t="str">
        <f t="shared" si="5"/>
        <v>R0238580--</v>
      </c>
      <c r="C386" s="2" t="s">
        <v>1886</v>
      </c>
      <c r="D386" s="2" t="s">
        <v>109</v>
      </c>
      <c r="E386" s="2" t="s">
        <v>1887</v>
      </c>
      <c r="F386" s="2" t="s">
        <v>1888</v>
      </c>
      <c r="G386" s="2" t="s">
        <v>2587</v>
      </c>
      <c r="H386" s="2" t="s">
        <v>1889</v>
      </c>
      <c r="I386" s="2"/>
      <c r="J386" s="2"/>
      <c r="K386" s="2" t="s">
        <v>1312</v>
      </c>
      <c r="L386" s="2"/>
      <c r="M386" s="2"/>
      <c r="N386" s="2"/>
      <c r="O386" s="2"/>
      <c r="P386" s="2"/>
      <c r="Q386" s="2"/>
      <c r="R386" s="2"/>
      <c r="S386" s="2"/>
      <c r="T386" s="2" t="s">
        <v>2041</v>
      </c>
    </row>
    <row r="387" spans="1:20" hidden="1" x14ac:dyDescent="0.25">
      <c r="A387" t="e">
        <f>INDEX('Orig (V1_BCK)'!$C:$C,MATCH($B387,'Orig (V1_BCK)'!$C:$C,0),1)</f>
        <v>#N/A</v>
      </c>
      <c r="B387" s="3" t="str">
        <f t="shared" ref="B387:B450" si="6">_xlfn.TEXTJOIN("-",FALSE,$C387,$I387,$J387)</f>
        <v>R0770260--</v>
      </c>
      <c r="C387" s="2" t="s">
        <v>1446</v>
      </c>
      <c r="D387" s="2" t="s">
        <v>95</v>
      </c>
      <c r="E387" s="2" t="s">
        <v>1447</v>
      </c>
      <c r="F387" s="2" t="s">
        <v>1448</v>
      </c>
      <c r="G387" s="2" t="s">
        <v>2457</v>
      </c>
      <c r="H387" s="2" t="s">
        <v>1449</v>
      </c>
      <c r="I387" s="2"/>
      <c r="J387" s="2"/>
      <c r="K387" s="2" t="s">
        <v>1312</v>
      </c>
      <c r="L387" s="2"/>
      <c r="M387" s="2"/>
      <c r="N387" s="2"/>
      <c r="O387" s="2"/>
      <c r="P387" s="2"/>
      <c r="Q387" s="2"/>
      <c r="R387" s="2"/>
      <c r="S387" s="2"/>
      <c r="T387" s="2" t="s">
        <v>2375</v>
      </c>
    </row>
    <row r="388" spans="1:20" ht="30" hidden="1" x14ac:dyDescent="0.25">
      <c r="A388" t="str">
        <f>INDEX('Orig (V1_BCK)'!$C:$C,MATCH($B388,'Orig (V1_BCK)'!$C:$C,0),1)</f>
        <v>R0952538--</v>
      </c>
      <c r="B388" s="3" t="str">
        <f t="shared" si="6"/>
        <v>R0952538--</v>
      </c>
      <c r="C388" s="2" t="s">
        <v>1172</v>
      </c>
      <c r="D388" s="2" t="s">
        <v>1173</v>
      </c>
      <c r="E388" s="2" t="s">
        <v>1174</v>
      </c>
      <c r="F388" s="2" t="s">
        <v>1175</v>
      </c>
      <c r="G388" s="2" t="s">
        <v>1176</v>
      </c>
      <c r="H388" s="2" t="s">
        <v>1177</v>
      </c>
      <c r="I388" s="2"/>
      <c r="J388" s="2"/>
      <c r="K388" s="2" t="s">
        <v>1178</v>
      </c>
      <c r="L388" s="2"/>
      <c r="M388" s="2"/>
      <c r="N388" s="2"/>
      <c r="O388" s="2"/>
      <c r="P388" s="2"/>
      <c r="Q388" s="2"/>
      <c r="R388" s="2"/>
      <c r="S388" s="2"/>
      <c r="T388" s="2" t="s">
        <v>107</v>
      </c>
    </row>
    <row r="389" spans="1:20" hidden="1" x14ac:dyDescent="0.25">
      <c r="A389" t="e">
        <f>INDEX('Orig (V1_BCK)'!$C:$C,MATCH($B389,'Orig (V1_BCK)'!$C:$C,0),1)</f>
        <v>#N/A</v>
      </c>
      <c r="B389" s="3" t="str">
        <f t="shared" si="6"/>
        <v>R1061995--</v>
      </c>
      <c r="C389" s="2" t="s">
        <v>1950</v>
      </c>
      <c r="D389" s="2" t="s">
        <v>939</v>
      </c>
      <c r="E389" s="2" t="s">
        <v>1951</v>
      </c>
      <c r="F389" s="2" t="s">
        <v>1201</v>
      </c>
      <c r="G389" s="2" t="s">
        <v>2607</v>
      </c>
      <c r="H389" s="2" t="s">
        <v>1952</v>
      </c>
      <c r="I389" s="2"/>
      <c r="J389" s="2"/>
      <c r="K389" s="2" t="s">
        <v>1312</v>
      </c>
      <c r="L389" s="2"/>
      <c r="M389" s="2"/>
      <c r="N389" s="2"/>
      <c r="O389" s="2"/>
      <c r="P389" s="2"/>
      <c r="Q389" s="2"/>
      <c r="R389" s="2"/>
      <c r="S389" s="2"/>
      <c r="T389" s="2" t="s">
        <v>2041</v>
      </c>
    </row>
    <row r="390" spans="1:20" ht="30" hidden="1" x14ac:dyDescent="0.25">
      <c r="A390" t="str">
        <f>INDEX('Orig (V1_BCK)'!$C:$C,MATCH($B390,'Orig (V1_BCK)'!$C:$C,0),1)</f>
        <v>R1158863-R1158863-</v>
      </c>
      <c r="B390" s="3" t="str">
        <f t="shared" si="6"/>
        <v>R1158863-R1158863-</v>
      </c>
      <c r="C390" s="2" t="s">
        <v>716</v>
      </c>
      <c r="D390" s="2" t="s">
        <v>717</v>
      </c>
      <c r="E390" s="2" t="s">
        <v>718</v>
      </c>
      <c r="F390" s="2" t="s">
        <v>468</v>
      </c>
      <c r="G390" s="2" t="s">
        <v>2190</v>
      </c>
      <c r="H390" s="2" t="s">
        <v>719</v>
      </c>
      <c r="I390" s="2" t="s">
        <v>716</v>
      </c>
      <c r="J390" s="2"/>
      <c r="K390" s="2" t="s">
        <v>2191</v>
      </c>
      <c r="L390" s="2" t="s">
        <v>717</v>
      </c>
      <c r="M390" s="2"/>
      <c r="N390" s="2" t="s">
        <v>718</v>
      </c>
      <c r="O390" s="2"/>
      <c r="P390" s="2" t="s">
        <v>468</v>
      </c>
      <c r="Q390" s="2"/>
      <c r="R390" s="2"/>
      <c r="S390" s="2"/>
      <c r="T390" s="2" t="s">
        <v>2038</v>
      </c>
    </row>
    <row r="391" spans="1:20" hidden="1" x14ac:dyDescent="0.25">
      <c r="A391" t="str">
        <f>INDEX('Orig (V1_BCK)'!$C:$C,MATCH($B391,'Orig (V1_BCK)'!$C:$C,0),1)</f>
        <v>R1630694--J1842217</v>
      </c>
      <c r="B391" s="3" t="str">
        <f t="shared" si="6"/>
        <v>R1630694--J1842217</v>
      </c>
      <c r="C391" s="2" t="s">
        <v>609</v>
      </c>
      <c r="D391" s="2" t="s">
        <v>610</v>
      </c>
      <c r="E391" s="2" t="s">
        <v>611</v>
      </c>
      <c r="F391" s="2" t="s">
        <v>612</v>
      </c>
      <c r="G391" s="2" t="s">
        <v>2153</v>
      </c>
      <c r="H391" s="2" t="s">
        <v>613</v>
      </c>
      <c r="I391" s="2"/>
      <c r="J391" s="2" t="s">
        <v>457</v>
      </c>
      <c r="K391" s="2" t="s">
        <v>2087</v>
      </c>
      <c r="L391" s="2"/>
      <c r="M391" s="2" t="s">
        <v>458</v>
      </c>
      <c r="N391" s="2"/>
      <c r="O391" s="2" t="s">
        <v>459</v>
      </c>
      <c r="P391" s="2"/>
      <c r="Q391" s="2" t="s">
        <v>460</v>
      </c>
      <c r="R391" s="2"/>
      <c r="S391" s="2"/>
      <c r="T391" s="2" t="s">
        <v>2083</v>
      </c>
    </row>
    <row r="392" spans="1:20" ht="30" hidden="1" x14ac:dyDescent="0.25">
      <c r="A392" t="str">
        <f>INDEX('Orig (V1_BCK)'!$C:$C,MATCH($B392,'Orig (V1_BCK)'!$C:$C,0),1)</f>
        <v>R1778570--J5549918</v>
      </c>
      <c r="B392" s="3" t="str">
        <f t="shared" si="6"/>
        <v>R1778570--J5549918</v>
      </c>
      <c r="C392" s="2" t="s">
        <v>472</v>
      </c>
      <c r="D392" s="2" t="s">
        <v>95</v>
      </c>
      <c r="E392" s="2" t="s">
        <v>473</v>
      </c>
      <c r="F392" s="2" t="s">
        <v>29</v>
      </c>
      <c r="G392" s="2" t="s">
        <v>2092</v>
      </c>
      <c r="H392" s="2" t="s">
        <v>445</v>
      </c>
      <c r="I392" s="2"/>
      <c r="J392" s="2" t="s">
        <v>446</v>
      </c>
      <c r="K392" s="2" t="s">
        <v>2082</v>
      </c>
      <c r="L392" s="2"/>
      <c r="M392" s="2" t="s">
        <v>438</v>
      </c>
      <c r="N392" s="2"/>
      <c r="O392" s="2" t="s">
        <v>447</v>
      </c>
      <c r="P392" s="2"/>
      <c r="Q392" s="2" t="s">
        <v>448</v>
      </c>
      <c r="R392" s="2"/>
      <c r="S392" s="2"/>
      <c r="T392" s="2" t="s">
        <v>2083</v>
      </c>
    </row>
    <row r="393" spans="1:20" ht="45" hidden="1" x14ac:dyDescent="0.25">
      <c r="A393" t="e">
        <f>INDEX('Orig (V1_BCK)'!$C:$C,MATCH($B393,'Orig (V1_BCK)'!$C:$C,0),1)</f>
        <v>#N/A</v>
      </c>
      <c r="B393" s="3" t="str">
        <f t="shared" si="6"/>
        <v>R1829956--</v>
      </c>
      <c r="C393" s="2" t="s">
        <v>1527</v>
      </c>
      <c r="D393" s="2" t="s">
        <v>514</v>
      </c>
      <c r="E393" s="2" t="s">
        <v>1528</v>
      </c>
      <c r="F393" s="2" t="s">
        <v>1529</v>
      </c>
      <c r="G393" s="2" t="s">
        <v>2483</v>
      </c>
      <c r="H393" s="2" t="s">
        <v>1530</v>
      </c>
      <c r="I393" s="2"/>
      <c r="J393" s="2"/>
      <c r="K393" s="2" t="s">
        <v>1312</v>
      </c>
      <c r="L393" s="2"/>
      <c r="M393" s="2"/>
      <c r="N393" s="2"/>
      <c r="O393" s="2"/>
      <c r="P393" s="2"/>
      <c r="Q393" s="2"/>
      <c r="R393" s="2"/>
      <c r="S393" s="2"/>
      <c r="T393" s="2" t="s">
        <v>2080</v>
      </c>
    </row>
    <row r="394" spans="1:20" hidden="1" x14ac:dyDescent="0.25">
      <c r="A394" t="e">
        <f>INDEX('Orig (V1_BCK)'!$C:$C,MATCH($B394,'Orig (V1_BCK)'!$C:$C,0),1)</f>
        <v>#N/A</v>
      </c>
      <c r="B394" s="3" t="str">
        <f t="shared" si="6"/>
        <v>R2911989--</v>
      </c>
      <c r="C394" s="2" t="s">
        <v>1349</v>
      </c>
      <c r="D394" s="2" t="s">
        <v>514</v>
      </c>
      <c r="E394" s="2" t="s">
        <v>11</v>
      </c>
      <c r="F394" s="2" t="s">
        <v>666</v>
      </c>
      <c r="G394" s="2" t="s">
        <v>2424</v>
      </c>
      <c r="H394" s="2" t="s">
        <v>1350</v>
      </c>
      <c r="I394" s="2"/>
      <c r="J394" s="2"/>
      <c r="K394" s="2" t="s">
        <v>1312</v>
      </c>
      <c r="L394" s="2"/>
      <c r="M394" s="2"/>
      <c r="N394" s="2"/>
      <c r="O394" s="2"/>
      <c r="P394" s="2"/>
      <c r="Q394" s="2"/>
      <c r="R394" s="2"/>
      <c r="S394" s="2"/>
      <c r="T394" s="2" t="s">
        <v>2080</v>
      </c>
    </row>
    <row r="395" spans="1:20" ht="30" hidden="1" x14ac:dyDescent="0.25">
      <c r="A395" t="str">
        <f>INDEX('Orig (V1_BCK)'!$C:$C,MATCH($B395,'Orig (V1_BCK)'!$C:$C,0),1)</f>
        <v>R3596443-R3596443-</v>
      </c>
      <c r="B395" s="3" t="str">
        <f t="shared" si="6"/>
        <v>R3596443-R3596443-</v>
      </c>
      <c r="C395" s="2" t="s">
        <v>995</v>
      </c>
      <c r="D395" s="2" t="s">
        <v>10</v>
      </c>
      <c r="E395" s="2" t="s">
        <v>8</v>
      </c>
      <c r="F395" s="2" t="s">
        <v>996</v>
      </c>
      <c r="G395" s="2" t="s">
        <v>2294</v>
      </c>
      <c r="H395" s="2" t="s">
        <v>997</v>
      </c>
      <c r="I395" s="2" t="s">
        <v>995</v>
      </c>
      <c r="J395" s="2"/>
      <c r="K395" s="2" t="s">
        <v>2295</v>
      </c>
      <c r="L395" s="2" t="s">
        <v>10</v>
      </c>
      <c r="M395" s="2"/>
      <c r="N395" s="2" t="s">
        <v>8</v>
      </c>
      <c r="O395" s="2"/>
      <c r="P395" s="2" t="s">
        <v>996</v>
      </c>
      <c r="Q395" s="2"/>
      <c r="R395" s="2"/>
      <c r="S395" s="2"/>
      <c r="T395" s="2" t="s">
        <v>2038</v>
      </c>
    </row>
    <row r="396" spans="1:20" ht="30" hidden="1" x14ac:dyDescent="0.25">
      <c r="A396" t="e">
        <f>INDEX('Orig (V1_BCK)'!$C:$C,MATCH($B396,'Orig (V1_BCK)'!$C:$C,0),1)</f>
        <v>#N/A</v>
      </c>
      <c r="B396" s="3" t="str">
        <f t="shared" si="6"/>
        <v>R3671448--</v>
      </c>
      <c r="C396" s="2" t="s">
        <v>1804</v>
      </c>
      <c r="D396" s="2" t="s">
        <v>109</v>
      </c>
      <c r="E396" s="2" t="s">
        <v>493</v>
      </c>
      <c r="F396" s="2" t="s">
        <v>740</v>
      </c>
      <c r="G396" s="2" t="s">
        <v>2562</v>
      </c>
      <c r="H396" s="2" t="s">
        <v>1805</v>
      </c>
      <c r="I396" s="2"/>
      <c r="J396" s="2"/>
      <c r="K396" s="2" t="s">
        <v>1312</v>
      </c>
      <c r="L396" s="2"/>
      <c r="M396" s="2"/>
      <c r="N396" s="2"/>
      <c r="O396" s="2"/>
      <c r="P396" s="2"/>
      <c r="Q396" s="2"/>
      <c r="R396" s="2"/>
      <c r="S396" s="2"/>
      <c r="T396" s="2" t="s">
        <v>2041</v>
      </c>
    </row>
    <row r="397" spans="1:20" ht="30" hidden="1" x14ac:dyDescent="0.25">
      <c r="A397" t="e">
        <f>INDEX('Orig (V1_BCK)'!$C:$C,MATCH($B397,'Orig (V1_BCK)'!$C:$C,0),1)</f>
        <v>#N/A</v>
      </c>
      <c r="B397" s="3" t="str">
        <f t="shared" si="6"/>
        <v>R3817235--</v>
      </c>
      <c r="C397" s="2" t="s">
        <v>929</v>
      </c>
      <c r="D397" s="2" t="s">
        <v>930</v>
      </c>
      <c r="E397" s="2" t="s">
        <v>622</v>
      </c>
      <c r="F397" s="2" t="s">
        <v>931</v>
      </c>
      <c r="G397" s="2" t="s">
        <v>2264</v>
      </c>
      <c r="H397" s="2" t="s">
        <v>1518</v>
      </c>
      <c r="I397" s="2"/>
      <c r="J397" s="2"/>
      <c r="K397" s="2" t="s">
        <v>1312</v>
      </c>
      <c r="L397" s="2"/>
      <c r="M397" s="2"/>
      <c r="N397" s="2"/>
      <c r="O397" s="2"/>
      <c r="P397" s="2"/>
      <c r="Q397" s="2"/>
      <c r="R397" s="2"/>
      <c r="S397" s="2"/>
      <c r="T397" s="2" t="s">
        <v>2083</v>
      </c>
    </row>
    <row r="398" spans="1:20" hidden="1" x14ac:dyDescent="0.25">
      <c r="A398" t="e">
        <f>INDEX('Orig (V1_BCK)'!$C:$C,MATCH($B398,'Orig (V1_BCK)'!$C:$C,0),1)</f>
        <v>#N/A</v>
      </c>
      <c r="B398" s="3" t="str">
        <f t="shared" si="6"/>
        <v>R3912304--</v>
      </c>
      <c r="C398" s="2" t="s">
        <v>1376</v>
      </c>
      <c r="D398" s="2" t="s">
        <v>669</v>
      </c>
      <c r="E398" s="2" t="s">
        <v>1377</v>
      </c>
      <c r="F398" s="2" t="s">
        <v>493</v>
      </c>
      <c r="G398" s="2" t="s">
        <v>2433</v>
      </c>
      <c r="H398" s="2" t="s">
        <v>1378</v>
      </c>
      <c r="I398" s="2"/>
      <c r="J398" s="2"/>
      <c r="K398" s="2" t="s">
        <v>1312</v>
      </c>
      <c r="L398" s="2"/>
      <c r="M398" s="2"/>
      <c r="N398" s="2"/>
      <c r="O398" s="2"/>
      <c r="P398" s="2"/>
      <c r="Q398" s="2"/>
      <c r="R398" s="2"/>
      <c r="S398" s="2"/>
      <c r="T398" s="2" t="s">
        <v>2426</v>
      </c>
    </row>
    <row r="399" spans="1:20" ht="45" hidden="1" x14ac:dyDescent="0.25">
      <c r="A399" t="str">
        <f>INDEX('Orig (V1_BCK)'!$C:$C,MATCH($B399,'Orig (V1_BCK)'!$C:$C,0),1)</f>
        <v>R4251279-A0967417-</v>
      </c>
      <c r="B399" s="3" t="str">
        <f t="shared" si="6"/>
        <v>R4251279-A0967417-</v>
      </c>
      <c r="C399" s="2" t="s">
        <v>108</v>
      </c>
      <c r="D399" s="2" t="s">
        <v>109</v>
      </c>
      <c r="E399" s="2" t="s">
        <v>110</v>
      </c>
      <c r="F399" s="2" t="s">
        <v>111</v>
      </c>
      <c r="G399" s="2" t="s">
        <v>2076</v>
      </c>
      <c r="H399" s="2" t="s">
        <v>112</v>
      </c>
      <c r="I399" s="2" t="s">
        <v>404</v>
      </c>
      <c r="J399" s="2"/>
      <c r="K399" s="2" t="s">
        <v>2077</v>
      </c>
      <c r="L399" s="2" t="s">
        <v>363</v>
      </c>
      <c r="M399" s="2"/>
      <c r="N399" s="2" t="s">
        <v>405</v>
      </c>
      <c r="O399" s="2"/>
      <c r="P399" s="2"/>
      <c r="Q399" s="2"/>
      <c r="R399" s="2"/>
      <c r="S399" s="2"/>
      <c r="T399" s="2" t="s">
        <v>2041</v>
      </c>
    </row>
    <row r="400" spans="1:20" ht="45" hidden="1" x14ac:dyDescent="0.25">
      <c r="A400" t="str">
        <f>INDEX('Orig (V1_BCK)'!$C:$C,MATCH($B400,'Orig (V1_BCK)'!$C:$C,0),1)</f>
        <v>R4251279-A3574111-</v>
      </c>
      <c r="B400" s="3" t="str">
        <f t="shared" si="6"/>
        <v>R4251279-A3574111-</v>
      </c>
      <c r="C400" s="2" t="s">
        <v>108</v>
      </c>
      <c r="D400" s="2" t="s">
        <v>109</v>
      </c>
      <c r="E400" s="2" t="s">
        <v>110</v>
      </c>
      <c r="F400" s="2" t="s">
        <v>111</v>
      </c>
      <c r="G400" s="2" t="s">
        <v>2076</v>
      </c>
      <c r="H400" s="2" t="s">
        <v>112</v>
      </c>
      <c r="I400" s="2" t="s">
        <v>359</v>
      </c>
      <c r="J400" s="2"/>
      <c r="K400" s="2" t="s">
        <v>2077</v>
      </c>
      <c r="L400" s="2" t="s">
        <v>360</v>
      </c>
      <c r="M400" s="2"/>
      <c r="N400" s="2" t="s">
        <v>361</v>
      </c>
      <c r="O400" s="2"/>
      <c r="P400" s="2"/>
      <c r="Q400" s="2"/>
      <c r="R400" s="2"/>
      <c r="S400" s="2"/>
      <c r="T400" s="2" t="s">
        <v>2041</v>
      </c>
    </row>
    <row r="401" spans="1:20" ht="45" hidden="1" x14ac:dyDescent="0.25">
      <c r="A401" t="str">
        <f>INDEX('Orig (V1_BCK)'!$C:$C,MATCH($B401,'Orig (V1_BCK)'!$C:$C,0),1)</f>
        <v>R4251279-A4180653-</v>
      </c>
      <c r="B401" s="3" t="str">
        <f t="shared" si="6"/>
        <v>R4251279-A4180653-</v>
      </c>
      <c r="C401" s="2" t="s">
        <v>108</v>
      </c>
      <c r="D401" s="2" t="s">
        <v>109</v>
      </c>
      <c r="E401" s="2" t="s">
        <v>110</v>
      </c>
      <c r="F401" s="2" t="s">
        <v>111</v>
      </c>
      <c r="G401" s="2" t="s">
        <v>2076</v>
      </c>
      <c r="H401" s="2" t="s">
        <v>112</v>
      </c>
      <c r="I401" s="2" t="s">
        <v>143</v>
      </c>
      <c r="J401" s="2"/>
      <c r="K401" s="2" t="s">
        <v>2077</v>
      </c>
      <c r="L401" s="2" t="s">
        <v>144</v>
      </c>
      <c r="M401" s="2"/>
      <c r="N401" s="2" t="s">
        <v>145</v>
      </c>
      <c r="O401" s="2"/>
      <c r="P401" s="2"/>
      <c r="Q401" s="2"/>
      <c r="R401" s="2"/>
      <c r="S401" s="2"/>
      <c r="T401" s="2" t="s">
        <v>2041</v>
      </c>
    </row>
    <row r="402" spans="1:20" ht="45" hidden="1" x14ac:dyDescent="0.25">
      <c r="A402" t="str">
        <f>INDEX('Orig (V1_BCK)'!$C:$C,MATCH($B402,'Orig (V1_BCK)'!$C:$C,0),1)</f>
        <v>R4251279-A4469373-</v>
      </c>
      <c r="B402" s="3" t="str">
        <f t="shared" si="6"/>
        <v>R4251279-A4469373-</v>
      </c>
      <c r="C402" s="2" t="s">
        <v>108</v>
      </c>
      <c r="D402" s="2" t="s">
        <v>109</v>
      </c>
      <c r="E402" s="2" t="s">
        <v>110</v>
      </c>
      <c r="F402" s="2" t="s">
        <v>111</v>
      </c>
      <c r="G402" s="2" t="s">
        <v>2076</v>
      </c>
      <c r="H402" s="2" t="s">
        <v>112</v>
      </c>
      <c r="I402" s="2" t="s">
        <v>266</v>
      </c>
      <c r="J402" s="2"/>
      <c r="K402" s="2" t="s">
        <v>2077</v>
      </c>
      <c r="L402" s="2" t="s">
        <v>255</v>
      </c>
      <c r="M402" s="2"/>
      <c r="N402" s="2" t="s">
        <v>267</v>
      </c>
      <c r="O402" s="2"/>
      <c r="P402" s="2"/>
      <c r="Q402" s="2"/>
      <c r="R402" s="2"/>
      <c r="S402" s="2"/>
      <c r="T402" s="2" t="s">
        <v>2041</v>
      </c>
    </row>
    <row r="403" spans="1:20" ht="45" hidden="1" x14ac:dyDescent="0.25">
      <c r="A403" t="str">
        <f>INDEX('Orig (V1_BCK)'!$C:$C,MATCH($B403,'Orig (V1_BCK)'!$C:$C,0),1)</f>
        <v>R4251279-A4847593-</v>
      </c>
      <c r="B403" s="3" t="str">
        <f t="shared" si="6"/>
        <v>R4251279-A4847593-</v>
      </c>
      <c r="C403" s="2" t="s">
        <v>108</v>
      </c>
      <c r="D403" s="2" t="s">
        <v>109</v>
      </c>
      <c r="E403" s="2" t="s">
        <v>110</v>
      </c>
      <c r="F403" s="2" t="s">
        <v>111</v>
      </c>
      <c r="G403" s="2" t="s">
        <v>2076</v>
      </c>
      <c r="H403" s="2" t="s">
        <v>112</v>
      </c>
      <c r="I403" s="2" t="s">
        <v>158</v>
      </c>
      <c r="J403" s="2"/>
      <c r="K403" s="2" t="s">
        <v>2077</v>
      </c>
      <c r="L403" s="2" t="s">
        <v>159</v>
      </c>
      <c r="M403" s="2"/>
      <c r="N403" s="2" t="s">
        <v>160</v>
      </c>
      <c r="O403" s="2"/>
      <c r="P403" s="2"/>
      <c r="Q403" s="2"/>
      <c r="R403" s="2"/>
      <c r="S403" s="2"/>
      <c r="T403" s="2" t="s">
        <v>2041</v>
      </c>
    </row>
    <row r="404" spans="1:20" ht="45" hidden="1" x14ac:dyDescent="0.25">
      <c r="A404" t="str">
        <f>INDEX('Orig (V1_BCK)'!$C:$C,MATCH($B404,'Orig (V1_BCK)'!$C:$C,0),1)</f>
        <v>R4251279-A5417301-</v>
      </c>
      <c r="B404" s="3" t="str">
        <f t="shared" si="6"/>
        <v>R4251279-A5417301-</v>
      </c>
      <c r="C404" s="2" t="s">
        <v>108</v>
      </c>
      <c r="D404" s="2" t="s">
        <v>109</v>
      </c>
      <c r="E404" s="2" t="s">
        <v>110</v>
      </c>
      <c r="F404" s="2" t="s">
        <v>111</v>
      </c>
      <c r="G404" s="2" t="s">
        <v>2076</v>
      </c>
      <c r="H404" s="2" t="s">
        <v>112</v>
      </c>
      <c r="I404" s="2" t="s">
        <v>129</v>
      </c>
      <c r="J404" s="2"/>
      <c r="K404" s="2" t="s">
        <v>2077</v>
      </c>
      <c r="L404" s="2" t="s">
        <v>130</v>
      </c>
      <c r="M404" s="2"/>
      <c r="N404" s="2" t="s">
        <v>131</v>
      </c>
      <c r="O404" s="2"/>
      <c r="P404" s="2"/>
      <c r="Q404" s="2"/>
      <c r="R404" s="2"/>
      <c r="S404" s="2"/>
      <c r="T404" s="2" t="s">
        <v>2041</v>
      </c>
    </row>
    <row r="405" spans="1:20" ht="45" hidden="1" x14ac:dyDescent="0.25">
      <c r="A405" t="str">
        <f>INDEX('Orig (V1_BCK)'!$C:$C,MATCH($B405,'Orig (V1_BCK)'!$C:$C,0),1)</f>
        <v>R4251279-A5945951-</v>
      </c>
      <c r="B405" s="3" t="str">
        <f t="shared" si="6"/>
        <v>R4251279-A5945951-</v>
      </c>
      <c r="C405" s="2" t="s">
        <v>108</v>
      </c>
      <c r="D405" s="2" t="s">
        <v>109</v>
      </c>
      <c r="E405" s="2" t="s">
        <v>110</v>
      </c>
      <c r="F405" s="2" t="s">
        <v>111</v>
      </c>
      <c r="G405" s="2" t="s">
        <v>2076</v>
      </c>
      <c r="H405" s="2" t="s">
        <v>112</v>
      </c>
      <c r="I405" s="2" t="s">
        <v>155</v>
      </c>
      <c r="J405" s="2"/>
      <c r="K405" s="2" t="s">
        <v>2077</v>
      </c>
      <c r="L405" s="2" t="s">
        <v>156</v>
      </c>
      <c r="M405" s="2"/>
      <c r="N405" s="2" t="s">
        <v>157</v>
      </c>
      <c r="O405" s="2"/>
      <c r="P405" s="2"/>
      <c r="Q405" s="2"/>
      <c r="R405" s="2"/>
      <c r="S405" s="2"/>
      <c r="T405" s="2" t="s">
        <v>2041</v>
      </c>
    </row>
    <row r="406" spans="1:20" ht="45" hidden="1" x14ac:dyDescent="0.25">
      <c r="A406" t="str">
        <f>INDEX('Orig (V1_BCK)'!$C:$C,MATCH($B406,'Orig (V1_BCK)'!$C:$C,0),1)</f>
        <v>R4251279-A6181784-</v>
      </c>
      <c r="B406" s="3" t="str">
        <f t="shared" si="6"/>
        <v>R4251279-A6181784-</v>
      </c>
      <c r="C406" s="2" t="s">
        <v>108</v>
      </c>
      <c r="D406" s="2" t="s">
        <v>109</v>
      </c>
      <c r="E406" s="2" t="s">
        <v>110</v>
      </c>
      <c r="F406" s="2" t="s">
        <v>111</v>
      </c>
      <c r="G406" s="2" t="s">
        <v>2076</v>
      </c>
      <c r="H406" s="2" t="s">
        <v>112</v>
      </c>
      <c r="I406" s="2" t="s">
        <v>254</v>
      </c>
      <c r="J406" s="2"/>
      <c r="K406" s="2" t="s">
        <v>2077</v>
      </c>
      <c r="L406" s="2" t="s">
        <v>255</v>
      </c>
      <c r="M406" s="2"/>
      <c r="N406" s="2" t="s">
        <v>256</v>
      </c>
      <c r="O406" s="2"/>
      <c r="P406" s="2"/>
      <c r="Q406" s="2"/>
      <c r="R406" s="2"/>
      <c r="S406" s="2"/>
      <c r="T406" s="2" t="s">
        <v>2041</v>
      </c>
    </row>
    <row r="407" spans="1:20" ht="45" hidden="1" x14ac:dyDescent="0.25">
      <c r="A407" t="str">
        <f>INDEX('Orig (V1_BCK)'!$C:$C,MATCH($B407,'Orig (V1_BCK)'!$C:$C,0),1)</f>
        <v>R4251279-A6925972-</v>
      </c>
      <c r="B407" s="3" t="str">
        <f t="shared" si="6"/>
        <v>R4251279-A6925972-</v>
      </c>
      <c r="C407" s="2" t="s">
        <v>108</v>
      </c>
      <c r="D407" s="2" t="s">
        <v>109</v>
      </c>
      <c r="E407" s="2" t="s">
        <v>110</v>
      </c>
      <c r="F407" s="2" t="s">
        <v>111</v>
      </c>
      <c r="G407" s="2" t="s">
        <v>2076</v>
      </c>
      <c r="H407" s="2" t="s">
        <v>112</v>
      </c>
      <c r="I407" s="2" t="s">
        <v>216</v>
      </c>
      <c r="J407" s="2"/>
      <c r="K407" s="2" t="s">
        <v>2077</v>
      </c>
      <c r="L407" s="2" t="s">
        <v>68</v>
      </c>
      <c r="M407" s="2"/>
      <c r="N407" s="2" t="s">
        <v>217</v>
      </c>
      <c r="O407" s="2"/>
      <c r="P407" s="2"/>
      <c r="Q407" s="2"/>
      <c r="R407" s="2"/>
      <c r="S407" s="2"/>
      <c r="T407" s="2" t="s">
        <v>2041</v>
      </c>
    </row>
    <row r="408" spans="1:20" ht="45" hidden="1" x14ac:dyDescent="0.25">
      <c r="A408" t="str">
        <f>INDEX('Orig (V1_BCK)'!$C:$C,MATCH($B408,'Orig (V1_BCK)'!$C:$C,0),1)</f>
        <v>R4251279-A6992198-</v>
      </c>
      <c r="B408" s="3" t="str">
        <f t="shared" si="6"/>
        <v>R4251279-A6992198-</v>
      </c>
      <c r="C408" s="2" t="s">
        <v>108</v>
      </c>
      <c r="D408" s="2" t="s">
        <v>109</v>
      </c>
      <c r="E408" s="2" t="s">
        <v>110</v>
      </c>
      <c r="F408" s="2" t="s">
        <v>111</v>
      </c>
      <c r="G408" s="2" t="s">
        <v>2076</v>
      </c>
      <c r="H408" s="2" t="s">
        <v>112</v>
      </c>
      <c r="I408" s="2" t="s">
        <v>198</v>
      </c>
      <c r="J408" s="2"/>
      <c r="K408" s="2" t="s">
        <v>2077</v>
      </c>
      <c r="L408" s="2" t="s">
        <v>199</v>
      </c>
      <c r="M408" s="2"/>
      <c r="N408" s="2" t="s">
        <v>200</v>
      </c>
      <c r="O408" s="2"/>
      <c r="P408" s="2"/>
      <c r="Q408" s="2"/>
      <c r="R408" s="2"/>
      <c r="S408" s="2"/>
      <c r="T408" s="2" t="s">
        <v>2041</v>
      </c>
    </row>
    <row r="409" spans="1:20" ht="45" hidden="1" x14ac:dyDescent="0.25">
      <c r="A409" t="str">
        <f>INDEX('Orig (V1_BCK)'!$C:$C,MATCH($B409,'Orig (V1_BCK)'!$C:$C,0),1)</f>
        <v>R4251279-A7580255-</v>
      </c>
      <c r="B409" s="3" t="str">
        <f t="shared" si="6"/>
        <v>R4251279-A7580255-</v>
      </c>
      <c r="C409" s="2" t="s">
        <v>108</v>
      </c>
      <c r="D409" s="2" t="s">
        <v>109</v>
      </c>
      <c r="E409" s="2" t="s">
        <v>110</v>
      </c>
      <c r="F409" s="2" t="s">
        <v>111</v>
      </c>
      <c r="G409" s="2" t="s">
        <v>2076</v>
      </c>
      <c r="H409" s="2" t="s">
        <v>112</v>
      </c>
      <c r="I409" s="2" t="s">
        <v>251</v>
      </c>
      <c r="J409" s="2"/>
      <c r="K409" s="2" t="s">
        <v>2077</v>
      </c>
      <c r="L409" s="2" t="s">
        <v>252</v>
      </c>
      <c r="M409" s="2"/>
      <c r="N409" s="2" t="s">
        <v>253</v>
      </c>
      <c r="O409" s="2"/>
      <c r="P409" s="2"/>
      <c r="Q409" s="2"/>
      <c r="R409" s="2"/>
      <c r="S409" s="2"/>
      <c r="T409" s="2" t="s">
        <v>2041</v>
      </c>
    </row>
    <row r="410" spans="1:20" ht="45" hidden="1" x14ac:dyDescent="0.25">
      <c r="A410" t="str">
        <f>INDEX('Orig (V1_BCK)'!$C:$C,MATCH($B410,'Orig (V1_BCK)'!$C:$C,0),1)</f>
        <v>R4251279-A8779087-</v>
      </c>
      <c r="B410" s="3" t="str">
        <f t="shared" si="6"/>
        <v>R4251279-A8779087-</v>
      </c>
      <c r="C410" s="2" t="s">
        <v>108</v>
      </c>
      <c r="D410" s="2" t="s">
        <v>109</v>
      </c>
      <c r="E410" s="2" t="s">
        <v>110</v>
      </c>
      <c r="F410" s="2" t="s">
        <v>111</v>
      </c>
      <c r="G410" s="2" t="s">
        <v>2076</v>
      </c>
      <c r="H410" s="2" t="s">
        <v>112</v>
      </c>
      <c r="I410" s="2" t="s">
        <v>362</v>
      </c>
      <c r="J410" s="2"/>
      <c r="K410" s="2" t="s">
        <v>2077</v>
      </c>
      <c r="L410" s="2" t="s">
        <v>363</v>
      </c>
      <c r="M410" s="2"/>
      <c r="N410" s="2" t="s">
        <v>364</v>
      </c>
      <c r="O410" s="2"/>
      <c r="P410" s="2"/>
      <c r="Q410" s="2"/>
      <c r="R410" s="2"/>
      <c r="S410" s="2"/>
      <c r="T410" s="2" t="s">
        <v>2041</v>
      </c>
    </row>
    <row r="411" spans="1:20" ht="45" hidden="1" x14ac:dyDescent="0.25">
      <c r="A411" t="str">
        <f>INDEX('Orig (V1_BCK)'!$C:$C,MATCH($B411,'Orig (V1_BCK)'!$C:$C,0),1)</f>
        <v>R4251279-A8780908-</v>
      </c>
      <c r="B411" s="3" t="str">
        <f t="shared" si="6"/>
        <v>R4251279-A8780908-</v>
      </c>
      <c r="C411" s="2" t="s">
        <v>108</v>
      </c>
      <c r="D411" s="2" t="s">
        <v>109</v>
      </c>
      <c r="E411" s="2" t="s">
        <v>110</v>
      </c>
      <c r="F411" s="2" t="s">
        <v>111</v>
      </c>
      <c r="G411" s="2" t="s">
        <v>2076</v>
      </c>
      <c r="H411" s="2" t="s">
        <v>112</v>
      </c>
      <c r="I411" s="2" t="s">
        <v>297</v>
      </c>
      <c r="J411" s="2"/>
      <c r="K411" s="2" t="s">
        <v>2077</v>
      </c>
      <c r="L411" s="2" t="s">
        <v>298</v>
      </c>
      <c r="M411" s="2"/>
      <c r="N411" s="2" t="s">
        <v>299</v>
      </c>
      <c r="O411" s="2"/>
      <c r="P411" s="2"/>
      <c r="Q411" s="2"/>
      <c r="R411" s="2"/>
      <c r="S411" s="2"/>
      <c r="T411" s="2" t="s">
        <v>2041</v>
      </c>
    </row>
    <row r="412" spans="1:20" ht="45" hidden="1" x14ac:dyDescent="0.25">
      <c r="A412" t="str">
        <f>INDEX('Orig (V1_BCK)'!$C:$C,MATCH($B412,'Orig (V1_BCK)'!$C:$C,0),1)</f>
        <v>R4251279-A9125195-</v>
      </c>
      <c r="B412" s="3" t="str">
        <f t="shared" si="6"/>
        <v>R4251279-A9125195-</v>
      </c>
      <c r="C412" s="2" t="s">
        <v>108</v>
      </c>
      <c r="D412" s="2" t="s">
        <v>109</v>
      </c>
      <c r="E412" s="2" t="s">
        <v>110</v>
      </c>
      <c r="F412" s="2" t="s">
        <v>111</v>
      </c>
      <c r="G412" s="2" t="s">
        <v>2076</v>
      </c>
      <c r="H412" s="2" t="s">
        <v>112</v>
      </c>
      <c r="I412" s="2" t="s">
        <v>419</v>
      </c>
      <c r="J412" s="2"/>
      <c r="K412" s="2" t="s">
        <v>2077</v>
      </c>
      <c r="L412" s="2" t="s">
        <v>255</v>
      </c>
      <c r="M412" s="2"/>
      <c r="N412" s="2" t="s">
        <v>420</v>
      </c>
      <c r="O412" s="2"/>
      <c r="P412" s="2"/>
      <c r="Q412" s="2"/>
      <c r="R412" s="2"/>
      <c r="S412" s="2"/>
      <c r="T412" s="2" t="s">
        <v>2041</v>
      </c>
    </row>
    <row r="413" spans="1:20" ht="45" hidden="1" x14ac:dyDescent="0.25">
      <c r="A413" t="str">
        <f>INDEX('Orig (V1_BCK)'!$C:$C,MATCH($B413,'Orig (V1_BCK)'!$C:$C,0),1)</f>
        <v>R4251279-A9302822-</v>
      </c>
      <c r="B413" s="3" t="str">
        <f t="shared" si="6"/>
        <v>R4251279-A9302822-</v>
      </c>
      <c r="C413" s="2" t="s">
        <v>108</v>
      </c>
      <c r="D413" s="2" t="s">
        <v>109</v>
      </c>
      <c r="E413" s="2" t="s">
        <v>110</v>
      </c>
      <c r="F413" s="2" t="s">
        <v>111</v>
      </c>
      <c r="G413" s="2" t="s">
        <v>2076</v>
      </c>
      <c r="H413" s="2" t="s">
        <v>112</v>
      </c>
      <c r="I413" s="2" t="s">
        <v>391</v>
      </c>
      <c r="J413" s="2"/>
      <c r="K413" s="2" t="s">
        <v>2077</v>
      </c>
      <c r="L413" s="2" t="s">
        <v>255</v>
      </c>
      <c r="M413" s="2"/>
      <c r="N413" s="2" t="s">
        <v>392</v>
      </c>
      <c r="O413" s="2"/>
      <c r="P413" s="2"/>
      <c r="Q413" s="2"/>
      <c r="R413" s="2"/>
      <c r="S413" s="2"/>
      <c r="T413" s="2" t="s">
        <v>2041</v>
      </c>
    </row>
    <row r="414" spans="1:20" ht="45" hidden="1" x14ac:dyDescent="0.25">
      <c r="A414" t="str">
        <f>INDEX('Orig (V1_BCK)'!$C:$C,MATCH($B414,'Orig (V1_BCK)'!$C:$C,0),1)</f>
        <v>R4251279-B3146354-</v>
      </c>
      <c r="B414" s="3" t="str">
        <f t="shared" si="6"/>
        <v>R4251279-B3146354-</v>
      </c>
      <c r="C414" s="2" t="s">
        <v>108</v>
      </c>
      <c r="D414" s="2" t="s">
        <v>109</v>
      </c>
      <c r="E414" s="2" t="s">
        <v>110</v>
      </c>
      <c r="F414" s="2" t="s">
        <v>111</v>
      </c>
      <c r="G414" s="2" t="s">
        <v>2076</v>
      </c>
      <c r="H414" s="2" t="s">
        <v>112</v>
      </c>
      <c r="I414" s="2" t="s">
        <v>345</v>
      </c>
      <c r="J414" s="2"/>
      <c r="K414" s="2" t="s">
        <v>2077</v>
      </c>
      <c r="L414" s="2" t="s">
        <v>346</v>
      </c>
      <c r="M414" s="2"/>
      <c r="N414" s="2" t="s">
        <v>347</v>
      </c>
      <c r="O414" s="2"/>
      <c r="P414" s="2"/>
      <c r="Q414" s="2"/>
      <c r="R414" s="2"/>
      <c r="S414" s="2"/>
      <c r="T414" s="2" t="s">
        <v>2041</v>
      </c>
    </row>
    <row r="415" spans="1:20" ht="45" hidden="1" x14ac:dyDescent="0.25">
      <c r="A415" t="str">
        <f>INDEX('Orig (V1_BCK)'!$C:$C,MATCH($B415,'Orig (V1_BCK)'!$C:$C,0),1)</f>
        <v>R4251279-C3174786-</v>
      </c>
      <c r="B415" s="3" t="str">
        <f t="shared" si="6"/>
        <v>R4251279-C3174786-</v>
      </c>
      <c r="C415" s="2" t="s">
        <v>108</v>
      </c>
      <c r="D415" s="2" t="s">
        <v>109</v>
      </c>
      <c r="E415" s="2" t="s">
        <v>110</v>
      </c>
      <c r="F415" s="2" t="s">
        <v>111</v>
      </c>
      <c r="G415" s="2" t="s">
        <v>2076</v>
      </c>
      <c r="H415" s="2" t="s">
        <v>112</v>
      </c>
      <c r="I415" s="2" t="s">
        <v>204</v>
      </c>
      <c r="J415" s="2"/>
      <c r="K415" s="2" t="s">
        <v>2077</v>
      </c>
      <c r="L415" s="2" t="s">
        <v>205</v>
      </c>
      <c r="M415" s="2"/>
      <c r="N415" s="2" t="s">
        <v>206</v>
      </c>
      <c r="O415" s="2"/>
      <c r="P415" s="2"/>
      <c r="Q415" s="2"/>
      <c r="R415" s="2"/>
      <c r="S415" s="2"/>
      <c r="T415" s="2" t="s">
        <v>2041</v>
      </c>
    </row>
    <row r="416" spans="1:20" ht="45" hidden="1" x14ac:dyDescent="0.25">
      <c r="A416" t="str">
        <f>INDEX('Orig (V1_BCK)'!$C:$C,MATCH($B416,'Orig (V1_BCK)'!$C:$C,0),1)</f>
        <v>R4251279-C6067195-</v>
      </c>
      <c r="B416" s="3" t="str">
        <f t="shared" si="6"/>
        <v>R4251279-C6067195-</v>
      </c>
      <c r="C416" s="2" t="s">
        <v>108</v>
      </c>
      <c r="D416" s="2" t="s">
        <v>109</v>
      </c>
      <c r="E416" s="2" t="s">
        <v>110</v>
      </c>
      <c r="F416" s="2" t="s">
        <v>111</v>
      </c>
      <c r="G416" s="2" t="s">
        <v>2076</v>
      </c>
      <c r="H416" s="2" t="s">
        <v>112</v>
      </c>
      <c r="I416" s="2" t="s">
        <v>247</v>
      </c>
      <c r="J416" s="2"/>
      <c r="K416" s="2" t="s">
        <v>2077</v>
      </c>
      <c r="L416" s="2" t="s">
        <v>49</v>
      </c>
      <c r="M416" s="2"/>
      <c r="N416" s="2" t="s">
        <v>248</v>
      </c>
      <c r="O416" s="2"/>
      <c r="P416" s="2"/>
      <c r="Q416" s="2"/>
      <c r="R416" s="2"/>
      <c r="S416" s="2"/>
      <c r="T416" s="2" t="s">
        <v>2041</v>
      </c>
    </row>
    <row r="417" spans="1:20" ht="45" hidden="1" x14ac:dyDescent="0.25">
      <c r="A417" t="str">
        <f>INDEX('Orig (V1_BCK)'!$C:$C,MATCH($B417,'Orig (V1_BCK)'!$C:$C,0),1)</f>
        <v>R4251279-C7113631-</v>
      </c>
      <c r="B417" s="3" t="str">
        <f t="shared" si="6"/>
        <v>R4251279-C7113631-</v>
      </c>
      <c r="C417" s="2" t="s">
        <v>108</v>
      </c>
      <c r="D417" s="2" t="s">
        <v>109</v>
      </c>
      <c r="E417" s="2" t="s">
        <v>110</v>
      </c>
      <c r="F417" s="2" t="s">
        <v>111</v>
      </c>
      <c r="G417" s="2" t="s">
        <v>2076</v>
      </c>
      <c r="H417" s="2" t="s">
        <v>112</v>
      </c>
      <c r="I417" s="2" t="s">
        <v>268</v>
      </c>
      <c r="J417" s="2"/>
      <c r="K417" s="2" t="s">
        <v>2077</v>
      </c>
      <c r="L417" s="2" t="s">
        <v>269</v>
      </c>
      <c r="M417" s="2"/>
      <c r="N417" s="2" t="s">
        <v>270</v>
      </c>
      <c r="O417" s="2"/>
      <c r="P417" s="2"/>
      <c r="Q417" s="2"/>
      <c r="R417" s="2"/>
      <c r="S417" s="2"/>
      <c r="T417" s="2" t="s">
        <v>2041</v>
      </c>
    </row>
    <row r="418" spans="1:20" ht="45" hidden="1" x14ac:dyDescent="0.25">
      <c r="A418" t="str">
        <f>INDEX('Orig (V1_BCK)'!$C:$C,MATCH($B418,'Orig (V1_BCK)'!$C:$C,0),1)</f>
        <v>R4251279-D5733655-</v>
      </c>
      <c r="B418" s="3" t="str">
        <f t="shared" si="6"/>
        <v>R4251279-D5733655-</v>
      </c>
      <c r="C418" s="2" t="s">
        <v>108</v>
      </c>
      <c r="D418" s="2" t="s">
        <v>109</v>
      </c>
      <c r="E418" s="2" t="s">
        <v>110</v>
      </c>
      <c r="F418" s="2" t="s">
        <v>111</v>
      </c>
      <c r="G418" s="2" t="s">
        <v>2076</v>
      </c>
      <c r="H418" s="2" t="s">
        <v>112</v>
      </c>
      <c r="I418" s="2" t="s">
        <v>218</v>
      </c>
      <c r="J418" s="2"/>
      <c r="K418" s="2" t="s">
        <v>2077</v>
      </c>
      <c r="L418" s="2" t="s">
        <v>90</v>
      </c>
      <c r="M418" s="2"/>
      <c r="N418" s="2" t="s">
        <v>219</v>
      </c>
      <c r="O418" s="2"/>
      <c r="P418" s="2"/>
      <c r="Q418" s="2"/>
      <c r="R418" s="2"/>
      <c r="S418" s="2"/>
      <c r="T418" s="2" t="s">
        <v>2041</v>
      </c>
    </row>
    <row r="419" spans="1:20" ht="45" hidden="1" x14ac:dyDescent="0.25">
      <c r="A419" t="str">
        <f>INDEX('Orig (V1_BCK)'!$C:$C,MATCH($B419,'Orig (V1_BCK)'!$C:$C,0),1)</f>
        <v>R4251279-D8325341-</v>
      </c>
      <c r="B419" s="3" t="str">
        <f t="shared" si="6"/>
        <v>R4251279-D8325341-</v>
      </c>
      <c r="C419" s="2" t="s">
        <v>108</v>
      </c>
      <c r="D419" s="2" t="s">
        <v>109</v>
      </c>
      <c r="E419" s="2" t="s">
        <v>110</v>
      </c>
      <c r="F419" s="2" t="s">
        <v>111</v>
      </c>
      <c r="G419" s="2" t="s">
        <v>2076</v>
      </c>
      <c r="H419" s="2" t="s">
        <v>112</v>
      </c>
      <c r="I419" s="2" t="s">
        <v>260</v>
      </c>
      <c r="J419" s="2"/>
      <c r="K419" s="2" t="s">
        <v>2077</v>
      </c>
      <c r="L419" s="2" t="s">
        <v>261</v>
      </c>
      <c r="M419" s="2"/>
      <c r="N419" s="2" t="s">
        <v>262</v>
      </c>
      <c r="O419" s="2"/>
      <c r="P419" s="2"/>
      <c r="Q419" s="2"/>
      <c r="R419" s="2"/>
      <c r="S419" s="2"/>
      <c r="T419" s="2" t="s">
        <v>2041</v>
      </c>
    </row>
    <row r="420" spans="1:20" ht="45" hidden="1" x14ac:dyDescent="0.25">
      <c r="A420" t="str">
        <f>INDEX('Orig (V1_BCK)'!$C:$C,MATCH($B420,'Orig (V1_BCK)'!$C:$C,0),1)</f>
        <v>R4251279-E2201246-</v>
      </c>
      <c r="B420" s="3" t="str">
        <f t="shared" si="6"/>
        <v>R4251279-E2201246-</v>
      </c>
      <c r="C420" s="2" t="s">
        <v>108</v>
      </c>
      <c r="D420" s="2" t="s">
        <v>109</v>
      </c>
      <c r="E420" s="2" t="s">
        <v>110</v>
      </c>
      <c r="F420" s="2" t="s">
        <v>111</v>
      </c>
      <c r="G420" s="2" t="s">
        <v>2076</v>
      </c>
      <c r="H420" s="2" t="s">
        <v>112</v>
      </c>
      <c r="I420" s="2" t="s">
        <v>315</v>
      </c>
      <c r="J420" s="2"/>
      <c r="K420" s="2" t="s">
        <v>2077</v>
      </c>
      <c r="L420" s="2" t="s">
        <v>286</v>
      </c>
      <c r="M420" s="2"/>
      <c r="N420" s="2" t="s">
        <v>316</v>
      </c>
      <c r="O420" s="2"/>
      <c r="P420" s="2"/>
      <c r="Q420" s="2"/>
      <c r="R420" s="2"/>
      <c r="S420" s="2"/>
      <c r="T420" s="2" t="s">
        <v>2041</v>
      </c>
    </row>
    <row r="421" spans="1:20" ht="45" hidden="1" x14ac:dyDescent="0.25">
      <c r="A421" t="str">
        <f>INDEX('Orig (V1_BCK)'!$C:$C,MATCH($B421,'Orig (V1_BCK)'!$C:$C,0),1)</f>
        <v>R4251279-E3048904-</v>
      </c>
      <c r="B421" s="3" t="str">
        <f t="shared" si="6"/>
        <v>R4251279-E3048904-</v>
      </c>
      <c r="C421" s="2" t="s">
        <v>108</v>
      </c>
      <c r="D421" s="2" t="s">
        <v>109</v>
      </c>
      <c r="E421" s="2" t="s">
        <v>110</v>
      </c>
      <c r="F421" s="2" t="s">
        <v>111</v>
      </c>
      <c r="G421" s="2" t="s">
        <v>2076</v>
      </c>
      <c r="H421" s="2" t="s">
        <v>112</v>
      </c>
      <c r="I421" s="2" t="s">
        <v>285</v>
      </c>
      <c r="J421" s="2"/>
      <c r="K421" s="2" t="s">
        <v>2077</v>
      </c>
      <c r="L421" s="2" t="s">
        <v>286</v>
      </c>
      <c r="M421" s="2"/>
      <c r="N421" s="2" t="s">
        <v>287</v>
      </c>
      <c r="O421" s="2"/>
      <c r="P421" s="2"/>
      <c r="Q421" s="2"/>
      <c r="R421" s="2"/>
      <c r="S421" s="2"/>
      <c r="T421" s="2" t="s">
        <v>2041</v>
      </c>
    </row>
    <row r="422" spans="1:20" ht="45" hidden="1" x14ac:dyDescent="0.25">
      <c r="A422" t="str">
        <f>INDEX('Orig (V1_BCK)'!$C:$C,MATCH($B422,'Orig (V1_BCK)'!$C:$C,0),1)</f>
        <v>R4251279-E7408625-</v>
      </c>
      <c r="B422" s="3" t="str">
        <f t="shared" si="6"/>
        <v>R4251279-E7408625-</v>
      </c>
      <c r="C422" s="2" t="s">
        <v>108</v>
      </c>
      <c r="D422" s="2" t="s">
        <v>109</v>
      </c>
      <c r="E422" s="2" t="s">
        <v>110</v>
      </c>
      <c r="F422" s="2" t="s">
        <v>111</v>
      </c>
      <c r="G422" s="2" t="s">
        <v>2076</v>
      </c>
      <c r="H422" s="2" t="s">
        <v>112</v>
      </c>
      <c r="I422" s="2" t="s">
        <v>300</v>
      </c>
      <c r="J422" s="2"/>
      <c r="K422" s="2" t="s">
        <v>2077</v>
      </c>
      <c r="L422" s="2" t="s">
        <v>301</v>
      </c>
      <c r="M422" s="2"/>
      <c r="N422" s="2" t="s">
        <v>302</v>
      </c>
      <c r="O422" s="2"/>
      <c r="P422" s="2"/>
      <c r="Q422" s="2"/>
      <c r="R422" s="2"/>
      <c r="S422" s="2"/>
      <c r="T422" s="2" t="s">
        <v>2041</v>
      </c>
    </row>
    <row r="423" spans="1:20" ht="45" hidden="1" x14ac:dyDescent="0.25">
      <c r="A423" t="str">
        <f>INDEX('Orig (V1_BCK)'!$C:$C,MATCH($B423,'Orig (V1_BCK)'!$C:$C,0),1)</f>
        <v>R4251279-F0057503-</v>
      </c>
      <c r="B423" s="3" t="str">
        <f t="shared" si="6"/>
        <v>R4251279-F0057503-</v>
      </c>
      <c r="C423" s="2" t="s">
        <v>108</v>
      </c>
      <c r="D423" s="2" t="s">
        <v>109</v>
      </c>
      <c r="E423" s="2" t="s">
        <v>110</v>
      </c>
      <c r="F423" s="2" t="s">
        <v>111</v>
      </c>
      <c r="G423" s="2" t="s">
        <v>2076</v>
      </c>
      <c r="H423" s="2" t="s">
        <v>112</v>
      </c>
      <c r="I423" s="2" t="s">
        <v>412</v>
      </c>
      <c r="J423" s="2"/>
      <c r="K423" s="2" t="s">
        <v>2077</v>
      </c>
      <c r="L423" s="2" t="s">
        <v>410</v>
      </c>
      <c r="M423" s="2"/>
      <c r="N423" s="2" t="s">
        <v>413</v>
      </c>
      <c r="O423" s="2"/>
      <c r="P423" s="2"/>
      <c r="Q423" s="2"/>
      <c r="R423" s="2"/>
      <c r="S423" s="2"/>
      <c r="T423" s="2" t="s">
        <v>2041</v>
      </c>
    </row>
    <row r="424" spans="1:20" ht="45" hidden="1" x14ac:dyDescent="0.25">
      <c r="A424" t="str">
        <f>INDEX('Orig (V1_BCK)'!$C:$C,MATCH($B424,'Orig (V1_BCK)'!$C:$C,0),1)</f>
        <v>R4251279-F0780257-</v>
      </c>
      <c r="B424" s="3" t="str">
        <f t="shared" si="6"/>
        <v>R4251279-F0780257-</v>
      </c>
      <c r="C424" s="2" t="s">
        <v>108</v>
      </c>
      <c r="D424" s="2" t="s">
        <v>109</v>
      </c>
      <c r="E424" s="2" t="s">
        <v>110</v>
      </c>
      <c r="F424" s="2" t="s">
        <v>111</v>
      </c>
      <c r="G424" s="2" t="s">
        <v>2076</v>
      </c>
      <c r="H424" s="2" t="s">
        <v>112</v>
      </c>
      <c r="I424" s="2" t="s">
        <v>409</v>
      </c>
      <c r="J424" s="2"/>
      <c r="K424" s="2" t="s">
        <v>2077</v>
      </c>
      <c r="L424" s="2" t="s">
        <v>410</v>
      </c>
      <c r="M424" s="2"/>
      <c r="N424" s="2" t="s">
        <v>411</v>
      </c>
      <c r="O424" s="2"/>
      <c r="P424" s="2"/>
      <c r="Q424" s="2"/>
      <c r="R424" s="2"/>
      <c r="S424" s="2"/>
      <c r="T424" s="2" t="s">
        <v>2041</v>
      </c>
    </row>
    <row r="425" spans="1:20" ht="45" hidden="1" x14ac:dyDescent="0.25">
      <c r="A425" t="str">
        <f>INDEX('Orig (V1_BCK)'!$C:$C,MATCH($B425,'Orig (V1_BCK)'!$C:$C,0),1)</f>
        <v>R4251279-F2008630-</v>
      </c>
      <c r="B425" s="3" t="str">
        <f t="shared" si="6"/>
        <v>R4251279-F2008630-</v>
      </c>
      <c r="C425" s="2" t="s">
        <v>108</v>
      </c>
      <c r="D425" s="2" t="s">
        <v>109</v>
      </c>
      <c r="E425" s="2" t="s">
        <v>110</v>
      </c>
      <c r="F425" s="2" t="s">
        <v>111</v>
      </c>
      <c r="G425" s="2" t="s">
        <v>2076</v>
      </c>
      <c r="H425" s="2" t="s">
        <v>112</v>
      </c>
      <c r="I425" s="2" t="s">
        <v>271</v>
      </c>
      <c r="J425" s="2"/>
      <c r="K425" s="2" t="s">
        <v>2077</v>
      </c>
      <c r="L425" s="2" t="s">
        <v>272</v>
      </c>
      <c r="M425" s="2"/>
      <c r="N425" s="2" t="s">
        <v>273</v>
      </c>
      <c r="O425" s="2"/>
      <c r="P425" s="2"/>
      <c r="Q425" s="2"/>
      <c r="R425" s="2"/>
      <c r="S425" s="2"/>
      <c r="T425" s="2" t="s">
        <v>2041</v>
      </c>
    </row>
    <row r="426" spans="1:20" ht="45" hidden="1" x14ac:dyDescent="0.25">
      <c r="A426" t="str">
        <f>INDEX('Orig (V1_BCK)'!$C:$C,MATCH($B426,'Orig (V1_BCK)'!$C:$C,0),1)</f>
        <v>R4251279-F2038142-</v>
      </c>
      <c r="B426" s="3" t="str">
        <f t="shared" si="6"/>
        <v>R4251279-F2038142-</v>
      </c>
      <c r="C426" s="2" t="s">
        <v>108</v>
      </c>
      <c r="D426" s="2" t="s">
        <v>109</v>
      </c>
      <c r="E426" s="2" t="s">
        <v>110</v>
      </c>
      <c r="F426" s="2" t="s">
        <v>111</v>
      </c>
      <c r="G426" s="2" t="s">
        <v>2076</v>
      </c>
      <c r="H426" s="2" t="s">
        <v>112</v>
      </c>
      <c r="I426" s="2" t="s">
        <v>382</v>
      </c>
      <c r="J426" s="2"/>
      <c r="K426" s="2" t="s">
        <v>2077</v>
      </c>
      <c r="L426" s="2" t="s">
        <v>383</v>
      </c>
      <c r="M426" s="2"/>
      <c r="N426" s="2" t="s">
        <v>384</v>
      </c>
      <c r="O426" s="2"/>
      <c r="P426" s="2"/>
      <c r="Q426" s="2"/>
      <c r="R426" s="2"/>
      <c r="S426" s="2"/>
      <c r="T426" s="2" t="s">
        <v>2041</v>
      </c>
    </row>
    <row r="427" spans="1:20" ht="45" hidden="1" x14ac:dyDescent="0.25">
      <c r="A427" t="str">
        <f>INDEX('Orig (V1_BCK)'!$C:$C,MATCH($B427,'Orig (V1_BCK)'!$C:$C,0),1)</f>
        <v>R4251279-F4526977-</v>
      </c>
      <c r="B427" s="3" t="str">
        <f t="shared" si="6"/>
        <v>R4251279-F4526977-</v>
      </c>
      <c r="C427" s="2" t="s">
        <v>108</v>
      </c>
      <c r="D427" s="2" t="s">
        <v>109</v>
      </c>
      <c r="E427" s="2" t="s">
        <v>110</v>
      </c>
      <c r="F427" s="2" t="s">
        <v>111</v>
      </c>
      <c r="G427" s="2" t="s">
        <v>2076</v>
      </c>
      <c r="H427" s="2" t="s">
        <v>112</v>
      </c>
      <c r="I427" s="2" t="s">
        <v>230</v>
      </c>
      <c r="J427" s="2"/>
      <c r="K427" s="2" t="s">
        <v>2077</v>
      </c>
      <c r="L427" s="2" t="s">
        <v>231</v>
      </c>
      <c r="M427" s="2"/>
      <c r="N427" s="2" t="s">
        <v>232</v>
      </c>
      <c r="O427" s="2"/>
      <c r="P427" s="2"/>
      <c r="Q427" s="2"/>
      <c r="R427" s="2"/>
      <c r="S427" s="2"/>
      <c r="T427" s="2" t="s">
        <v>2041</v>
      </c>
    </row>
    <row r="428" spans="1:20" ht="45" hidden="1" x14ac:dyDescent="0.25">
      <c r="A428" t="str">
        <f>INDEX('Orig (V1_BCK)'!$C:$C,MATCH($B428,'Orig (V1_BCK)'!$C:$C,0),1)</f>
        <v>R4251279-F6099543-</v>
      </c>
      <c r="B428" s="3" t="str">
        <f t="shared" si="6"/>
        <v>R4251279-F6099543-</v>
      </c>
      <c r="C428" s="2" t="s">
        <v>108</v>
      </c>
      <c r="D428" s="2" t="s">
        <v>109</v>
      </c>
      <c r="E428" s="2" t="s">
        <v>110</v>
      </c>
      <c r="F428" s="2" t="s">
        <v>111</v>
      </c>
      <c r="G428" s="2" t="s">
        <v>2076</v>
      </c>
      <c r="H428" s="2" t="s">
        <v>112</v>
      </c>
      <c r="I428" s="2" t="s">
        <v>178</v>
      </c>
      <c r="J428" s="2"/>
      <c r="K428" s="2" t="s">
        <v>2077</v>
      </c>
      <c r="L428" s="2" t="s">
        <v>179</v>
      </c>
      <c r="M428" s="2"/>
      <c r="N428" s="2" t="s">
        <v>180</v>
      </c>
      <c r="O428" s="2"/>
      <c r="P428" s="2"/>
      <c r="Q428" s="2"/>
      <c r="R428" s="2"/>
      <c r="S428" s="2"/>
      <c r="T428" s="2" t="s">
        <v>2041</v>
      </c>
    </row>
    <row r="429" spans="1:20" ht="45" hidden="1" x14ac:dyDescent="0.25">
      <c r="A429" t="str">
        <f>INDEX('Orig (V1_BCK)'!$C:$C,MATCH($B429,'Orig (V1_BCK)'!$C:$C,0),1)</f>
        <v>R4251279-F6737856-</v>
      </c>
      <c r="B429" s="3" t="str">
        <f t="shared" si="6"/>
        <v>R4251279-F6737856-</v>
      </c>
      <c r="C429" s="2" t="s">
        <v>108</v>
      </c>
      <c r="D429" s="2" t="s">
        <v>109</v>
      </c>
      <c r="E429" s="2" t="s">
        <v>110</v>
      </c>
      <c r="F429" s="2" t="s">
        <v>111</v>
      </c>
      <c r="G429" s="2" t="s">
        <v>2076</v>
      </c>
      <c r="H429" s="2" t="s">
        <v>112</v>
      </c>
      <c r="I429" s="2" t="s">
        <v>249</v>
      </c>
      <c r="J429" s="2"/>
      <c r="K429" s="2" t="s">
        <v>2077</v>
      </c>
      <c r="L429" s="2" t="s">
        <v>231</v>
      </c>
      <c r="M429" s="2"/>
      <c r="N429" s="2" t="s">
        <v>250</v>
      </c>
      <c r="O429" s="2"/>
      <c r="P429" s="2"/>
      <c r="Q429" s="2"/>
      <c r="R429" s="2"/>
      <c r="S429" s="2"/>
      <c r="T429" s="2" t="s">
        <v>2041</v>
      </c>
    </row>
    <row r="430" spans="1:20" ht="45" hidden="1" x14ac:dyDescent="0.25">
      <c r="A430" t="str">
        <f>INDEX('Orig (V1_BCK)'!$C:$C,MATCH($B430,'Orig (V1_BCK)'!$C:$C,0),1)</f>
        <v>R4251279-F8428756-</v>
      </c>
      <c r="B430" s="3" t="str">
        <f t="shared" si="6"/>
        <v>R4251279-F8428756-</v>
      </c>
      <c r="C430" s="2" t="s">
        <v>108</v>
      </c>
      <c r="D430" s="2" t="s">
        <v>109</v>
      </c>
      <c r="E430" s="2" t="s">
        <v>110</v>
      </c>
      <c r="F430" s="2" t="s">
        <v>111</v>
      </c>
      <c r="G430" s="2" t="s">
        <v>2076</v>
      </c>
      <c r="H430" s="2" t="s">
        <v>112</v>
      </c>
      <c r="I430" s="2" t="s">
        <v>434</v>
      </c>
      <c r="J430" s="2"/>
      <c r="K430" s="2" t="s">
        <v>2077</v>
      </c>
      <c r="L430" s="2" t="s">
        <v>435</v>
      </c>
      <c r="M430" s="2"/>
      <c r="N430" s="2" t="s">
        <v>436</v>
      </c>
      <c r="O430" s="2"/>
      <c r="P430" s="2"/>
      <c r="Q430" s="2"/>
      <c r="R430" s="2"/>
      <c r="S430" s="2"/>
      <c r="T430" s="2" t="s">
        <v>2041</v>
      </c>
    </row>
    <row r="431" spans="1:20" ht="45" hidden="1" x14ac:dyDescent="0.25">
      <c r="A431" t="str">
        <f>INDEX('Orig (V1_BCK)'!$C:$C,MATCH($B431,'Orig (V1_BCK)'!$C:$C,0),1)</f>
        <v>R4251279-F8428756-</v>
      </c>
      <c r="B431" s="3" t="str">
        <f t="shared" si="6"/>
        <v>R4251279-F8428756-</v>
      </c>
      <c r="C431" s="2" t="s">
        <v>108</v>
      </c>
      <c r="D431" s="2" t="s">
        <v>109</v>
      </c>
      <c r="E431" s="2" t="s">
        <v>110</v>
      </c>
      <c r="F431" s="2" t="s">
        <v>111</v>
      </c>
      <c r="G431" s="2" t="s">
        <v>2076</v>
      </c>
      <c r="H431" s="2" t="s">
        <v>112</v>
      </c>
      <c r="I431" s="2" t="s">
        <v>434</v>
      </c>
      <c r="J431" s="2"/>
      <c r="K431" s="2" t="s">
        <v>2077</v>
      </c>
      <c r="L431" s="2" t="s">
        <v>435</v>
      </c>
      <c r="M431" s="2"/>
      <c r="N431" s="2" t="s">
        <v>436</v>
      </c>
      <c r="O431" s="2"/>
      <c r="P431" s="2"/>
      <c r="Q431" s="2"/>
      <c r="R431" s="2"/>
      <c r="S431" s="2"/>
      <c r="T431" s="2" t="s">
        <v>2041</v>
      </c>
    </row>
    <row r="432" spans="1:20" ht="45" hidden="1" x14ac:dyDescent="0.25">
      <c r="A432" t="str">
        <f>INDEX('Orig (V1_BCK)'!$C:$C,MATCH($B432,'Orig (V1_BCK)'!$C:$C,0),1)</f>
        <v>R4251279-G0352941-</v>
      </c>
      <c r="B432" s="3" t="str">
        <f t="shared" si="6"/>
        <v>R4251279-G0352941-</v>
      </c>
      <c r="C432" s="2" t="s">
        <v>108</v>
      </c>
      <c r="D432" s="2" t="s">
        <v>109</v>
      </c>
      <c r="E432" s="2" t="s">
        <v>110</v>
      </c>
      <c r="F432" s="2" t="s">
        <v>111</v>
      </c>
      <c r="G432" s="2" t="s">
        <v>2076</v>
      </c>
      <c r="H432" s="2" t="s">
        <v>112</v>
      </c>
      <c r="I432" s="2" t="s">
        <v>368</v>
      </c>
      <c r="J432" s="2"/>
      <c r="K432" s="2" t="s">
        <v>2077</v>
      </c>
      <c r="L432" s="2" t="s">
        <v>369</v>
      </c>
      <c r="M432" s="2"/>
      <c r="N432" s="2" t="s">
        <v>370</v>
      </c>
      <c r="O432" s="2"/>
      <c r="P432" s="2"/>
      <c r="Q432" s="2"/>
      <c r="R432" s="2"/>
      <c r="S432" s="2"/>
      <c r="T432" s="2" t="s">
        <v>2041</v>
      </c>
    </row>
    <row r="433" spans="1:20" ht="45" hidden="1" x14ac:dyDescent="0.25">
      <c r="A433" t="str">
        <f>INDEX('Orig (V1_BCK)'!$C:$C,MATCH($B433,'Orig (V1_BCK)'!$C:$C,0),1)</f>
        <v>R4251279-G0406494-</v>
      </c>
      <c r="B433" s="3" t="str">
        <f t="shared" si="6"/>
        <v>R4251279-G0406494-</v>
      </c>
      <c r="C433" s="2" t="s">
        <v>108</v>
      </c>
      <c r="D433" s="2" t="s">
        <v>109</v>
      </c>
      <c r="E433" s="2" t="s">
        <v>110</v>
      </c>
      <c r="F433" s="2" t="s">
        <v>111</v>
      </c>
      <c r="G433" s="2" t="s">
        <v>2076</v>
      </c>
      <c r="H433" s="2" t="s">
        <v>112</v>
      </c>
      <c r="I433" s="2" t="s">
        <v>241</v>
      </c>
      <c r="J433" s="2"/>
      <c r="K433" s="2" t="s">
        <v>2077</v>
      </c>
      <c r="L433" s="2" t="s">
        <v>242</v>
      </c>
      <c r="M433" s="2"/>
      <c r="N433" s="2" t="s">
        <v>243</v>
      </c>
      <c r="O433" s="2"/>
      <c r="P433" s="2"/>
      <c r="Q433" s="2"/>
      <c r="R433" s="2"/>
      <c r="S433" s="2"/>
      <c r="T433" s="2" t="s">
        <v>2041</v>
      </c>
    </row>
    <row r="434" spans="1:20" ht="45" hidden="1" x14ac:dyDescent="0.25">
      <c r="A434" t="str">
        <f>INDEX('Orig (V1_BCK)'!$C:$C,MATCH($B434,'Orig (V1_BCK)'!$C:$C,0),1)</f>
        <v>R4251279-H2634732-</v>
      </c>
      <c r="B434" s="3" t="str">
        <f t="shared" si="6"/>
        <v>R4251279-H2634732-</v>
      </c>
      <c r="C434" s="2" t="s">
        <v>108</v>
      </c>
      <c r="D434" s="2" t="s">
        <v>109</v>
      </c>
      <c r="E434" s="2" t="s">
        <v>110</v>
      </c>
      <c r="F434" s="2" t="s">
        <v>111</v>
      </c>
      <c r="G434" s="2" t="s">
        <v>2076</v>
      </c>
      <c r="H434" s="2" t="s">
        <v>112</v>
      </c>
      <c r="I434" s="2" t="s">
        <v>303</v>
      </c>
      <c r="J434" s="2"/>
      <c r="K434" s="2" t="s">
        <v>2077</v>
      </c>
      <c r="L434" s="2" t="s">
        <v>304</v>
      </c>
      <c r="M434" s="2"/>
      <c r="N434" s="2" t="s">
        <v>305</v>
      </c>
      <c r="O434" s="2"/>
      <c r="P434" s="2"/>
      <c r="Q434" s="2"/>
      <c r="R434" s="2"/>
      <c r="S434" s="2"/>
      <c r="T434" s="2" t="s">
        <v>2041</v>
      </c>
    </row>
    <row r="435" spans="1:20" ht="45" hidden="1" x14ac:dyDescent="0.25">
      <c r="A435" t="str">
        <f>INDEX('Orig (V1_BCK)'!$C:$C,MATCH($B435,'Orig (V1_BCK)'!$C:$C,0),1)</f>
        <v>R4251279-H2693153-</v>
      </c>
      <c r="B435" s="3" t="str">
        <f t="shared" si="6"/>
        <v>R4251279-H2693153-</v>
      </c>
      <c r="C435" s="2" t="s">
        <v>108</v>
      </c>
      <c r="D435" s="2" t="s">
        <v>109</v>
      </c>
      <c r="E435" s="2" t="s">
        <v>110</v>
      </c>
      <c r="F435" s="2" t="s">
        <v>111</v>
      </c>
      <c r="G435" s="2" t="s">
        <v>2076</v>
      </c>
      <c r="H435" s="2" t="s">
        <v>112</v>
      </c>
      <c r="I435" s="2" t="s">
        <v>115</v>
      </c>
      <c r="J435" s="2"/>
      <c r="K435" s="2" t="s">
        <v>2077</v>
      </c>
      <c r="L435" s="2" t="s">
        <v>116</v>
      </c>
      <c r="M435" s="2"/>
      <c r="N435" s="2" t="s">
        <v>117</v>
      </c>
      <c r="O435" s="2"/>
      <c r="P435" s="2"/>
      <c r="Q435" s="2"/>
      <c r="R435" s="2"/>
      <c r="S435" s="2"/>
      <c r="T435" s="2" t="s">
        <v>2041</v>
      </c>
    </row>
    <row r="436" spans="1:20" ht="45" hidden="1" x14ac:dyDescent="0.25">
      <c r="A436" t="str">
        <f>INDEX('Orig (V1_BCK)'!$C:$C,MATCH($B436,'Orig (V1_BCK)'!$C:$C,0),1)</f>
        <v>R4251279-H3027808-</v>
      </c>
      <c r="B436" s="3" t="str">
        <f t="shared" si="6"/>
        <v>R4251279-H3027808-</v>
      </c>
      <c r="C436" s="2" t="s">
        <v>108</v>
      </c>
      <c r="D436" s="2" t="s">
        <v>109</v>
      </c>
      <c r="E436" s="2" t="s">
        <v>110</v>
      </c>
      <c r="F436" s="2" t="s">
        <v>111</v>
      </c>
      <c r="G436" s="2" t="s">
        <v>2076</v>
      </c>
      <c r="H436" s="2" t="s">
        <v>112</v>
      </c>
      <c r="I436" s="2" t="s">
        <v>342</v>
      </c>
      <c r="J436" s="2"/>
      <c r="K436" s="2" t="s">
        <v>2077</v>
      </c>
      <c r="L436" s="2" t="s">
        <v>343</v>
      </c>
      <c r="M436" s="2"/>
      <c r="N436" s="2" t="s">
        <v>344</v>
      </c>
      <c r="O436" s="2"/>
      <c r="P436" s="2"/>
      <c r="Q436" s="2"/>
      <c r="R436" s="2"/>
      <c r="S436" s="2"/>
      <c r="T436" s="2" t="s">
        <v>2041</v>
      </c>
    </row>
    <row r="437" spans="1:20" ht="45" hidden="1" x14ac:dyDescent="0.25">
      <c r="A437" t="str">
        <f>INDEX('Orig (V1_BCK)'!$C:$C,MATCH($B437,'Orig (V1_BCK)'!$C:$C,0),1)</f>
        <v>R4251279-H5300207-</v>
      </c>
      <c r="B437" s="3" t="str">
        <f t="shared" si="6"/>
        <v>R4251279-H5300207-</v>
      </c>
      <c r="C437" s="2" t="s">
        <v>108</v>
      </c>
      <c r="D437" s="2" t="s">
        <v>109</v>
      </c>
      <c r="E437" s="2" t="s">
        <v>110</v>
      </c>
      <c r="F437" s="2" t="s">
        <v>111</v>
      </c>
      <c r="G437" s="2" t="s">
        <v>2076</v>
      </c>
      <c r="H437" s="2" t="s">
        <v>112</v>
      </c>
      <c r="I437" s="2" t="s">
        <v>371</v>
      </c>
      <c r="J437" s="2"/>
      <c r="K437" s="2" t="s">
        <v>2077</v>
      </c>
      <c r="L437" s="2" t="s">
        <v>304</v>
      </c>
      <c r="M437" s="2"/>
      <c r="N437" s="2" t="s">
        <v>372</v>
      </c>
      <c r="O437" s="2"/>
      <c r="P437" s="2"/>
      <c r="Q437" s="2"/>
      <c r="R437" s="2"/>
      <c r="S437" s="2"/>
      <c r="T437" s="2" t="s">
        <v>2041</v>
      </c>
    </row>
    <row r="438" spans="1:20" ht="45" hidden="1" x14ac:dyDescent="0.25">
      <c r="A438" t="str">
        <f>INDEX('Orig (V1_BCK)'!$C:$C,MATCH($B438,'Orig (V1_BCK)'!$C:$C,0),1)</f>
        <v>R4251279-H5511105-</v>
      </c>
      <c r="B438" s="3" t="str">
        <f t="shared" si="6"/>
        <v>R4251279-H5511105-</v>
      </c>
      <c r="C438" s="2" t="s">
        <v>108</v>
      </c>
      <c r="D438" s="2" t="s">
        <v>109</v>
      </c>
      <c r="E438" s="2" t="s">
        <v>110</v>
      </c>
      <c r="F438" s="2" t="s">
        <v>111</v>
      </c>
      <c r="G438" s="2" t="s">
        <v>2076</v>
      </c>
      <c r="H438" s="2" t="s">
        <v>112</v>
      </c>
      <c r="I438" s="2" t="s">
        <v>416</v>
      </c>
      <c r="J438" s="2"/>
      <c r="K438" s="2" t="s">
        <v>2077</v>
      </c>
      <c r="L438" s="2" t="s">
        <v>417</v>
      </c>
      <c r="M438" s="2"/>
      <c r="N438" s="2" t="s">
        <v>418</v>
      </c>
      <c r="O438" s="2"/>
      <c r="P438" s="2"/>
      <c r="Q438" s="2"/>
      <c r="R438" s="2"/>
      <c r="S438" s="2"/>
      <c r="T438" s="2" t="s">
        <v>2041</v>
      </c>
    </row>
    <row r="439" spans="1:20" ht="45" hidden="1" x14ac:dyDescent="0.25">
      <c r="A439" t="str">
        <f>INDEX('Orig (V1_BCK)'!$C:$C,MATCH($B439,'Orig (V1_BCK)'!$C:$C,0),1)</f>
        <v>R4251279-H6445236-</v>
      </c>
      <c r="B439" s="3" t="str">
        <f t="shared" si="6"/>
        <v>R4251279-H6445236-</v>
      </c>
      <c r="C439" s="2" t="s">
        <v>108</v>
      </c>
      <c r="D439" s="2" t="s">
        <v>109</v>
      </c>
      <c r="E439" s="2" t="s">
        <v>110</v>
      </c>
      <c r="F439" s="2" t="s">
        <v>111</v>
      </c>
      <c r="G439" s="2" t="s">
        <v>2076</v>
      </c>
      <c r="H439" s="2" t="s">
        <v>112</v>
      </c>
      <c r="I439" s="2" t="s">
        <v>170</v>
      </c>
      <c r="J439" s="2"/>
      <c r="K439" s="2" t="s">
        <v>2077</v>
      </c>
      <c r="L439" s="2" t="s">
        <v>171</v>
      </c>
      <c r="M439" s="2"/>
      <c r="N439" s="2" t="s">
        <v>16</v>
      </c>
      <c r="O439" s="2"/>
      <c r="P439" s="2"/>
      <c r="Q439" s="2"/>
      <c r="R439" s="2"/>
      <c r="S439" s="2"/>
      <c r="T439" s="2" t="s">
        <v>2041</v>
      </c>
    </row>
    <row r="440" spans="1:20" ht="45" hidden="1" x14ac:dyDescent="0.25">
      <c r="A440" t="str">
        <f>INDEX('Orig (V1_BCK)'!$C:$C,MATCH($B440,'Orig (V1_BCK)'!$C:$C,0),1)</f>
        <v>R4251279-H7201344-</v>
      </c>
      <c r="B440" s="3" t="str">
        <f t="shared" si="6"/>
        <v>R4251279-H7201344-</v>
      </c>
      <c r="C440" s="2" t="s">
        <v>108</v>
      </c>
      <c r="D440" s="2" t="s">
        <v>109</v>
      </c>
      <c r="E440" s="2" t="s">
        <v>110</v>
      </c>
      <c r="F440" s="2" t="s">
        <v>111</v>
      </c>
      <c r="G440" s="2" t="s">
        <v>2076</v>
      </c>
      <c r="H440" s="2" t="s">
        <v>112</v>
      </c>
      <c r="I440" s="2" t="s">
        <v>423</v>
      </c>
      <c r="J440" s="2"/>
      <c r="K440" s="2" t="s">
        <v>2077</v>
      </c>
      <c r="L440" s="2" t="s">
        <v>402</v>
      </c>
      <c r="M440" s="2"/>
      <c r="N440" s="2" t="s">
        <v>424</v>
      </c>
      <c r="O440" s="2"/>
      <c r="P440" s="2"/>
      <c r="Q440" s="2"/>
      <c r="R440" s="2"/>
      <c r="S440" s="2"/>
      <c r="T440" s="2" t="s">
        <v>2041</v>
      </c>
    </row>
    <row r="441" spans="1:20" ht="45" hidden="1" x14ac:dyDescent="0.25">
      <c r="A441" t="str">
        <f>INDEX('Orig (V1_BCK)'!$C:$C,MATCH($B441,'Orig (V1_BCK)'!$C:$C,0),1)</f>
        <v>R4251279-H8317012-</v>
      </c>
      <c r="B441" s="3" t="str">
        <f t="shared" si="6"/>
        <v>R4251279-H8317012-</v>
      </c>
      <c r="C441" s="2" t="s">
        <v>108</v>
      </c>
      <c r="D441" s="2" t="s">
        <v>109</v>
      </c>
      <c r="E441" s="2" t="s">
        <v>110</v>
      </c>
      <c r="F441" s="2" t="s">
        <v>111</v>
      </c>
      <c r="G441" s="2" t="s">
        <v>2076</v>
      </c>
      <c r="H441" s="2" t="s">
        <v>112</v>
      </c>
      <c r="I441" s="2" t="s">
        <v>401</v>
      </c>
      <c r="J441" s="2"/>
      <c r="K441" s="2" t="s">
        <v>2077</v>
      </c>
      <c r="L441" s="2" t="s">
        <v>402</v>
      </c>
      <c r="M441" s="2"/>
      <c r="N441" s="2" t="s">
        <v>403</v>
      </c>
      <c r="O441" s="2"/>
      <c r="P441" s="2"/>
      <c r="Q441" s="2"/>
      <c r="R441" s="2"/>
      <c r="S441" s="2"/>
      <c r="T441" s="2" t="s">
        <v>2041</v>
      </c>
    </row>
    <row r="442" spans="1:20" ht="45" hidden="1" x14ac:dyDescent="0.25">
      <c r="A442" t="str">
        <f>INDEX('Orig (V1_BCK)'!$C:$C,MATCH($B442,'Orig (V1_BCK)'!$C:$C,0),1)</f>
        <v>R4251279-HHHH-</v>
      </c>
      <c r="B442" s="3" t="str">
        <f t="shared" si="6"/>
        <v>R4251279-HHHH-</v>
      </c>
      <c r="C442" s="2" t="s">
        <v>108</v>
      </c>
      <c r="D442" s="2" t="s">
        <v>109</v>
      </c>
      <c r="E442" s="2" t="s">
        <v>110</v>
      </c>
      <c r="F442" s="2" t="s">
        <v>111</v>
      </c>
      <c r="G442" s="2" t="s">
        <v>2076</v>
      </c>
      <c r="H442" s="2" t="s">
        <v>112</v>
      </c>
      <c r="I442" s="2" t="s">
        <v>425</v>
      </c>
      <c r="J442" s="2"/>
      <c r="K442" s="2" t="s">
        <v>2077</v>
      </c>
      <c r="L442" s="2" t="s">
        <v>426</v>
      </c>
      <c r="M442" s="2"/>
      <c r="N442" s="2" t="s">
        <v>427</v>
      </c>
      <c r="O442" s="2"/>
      <c r="P442" s="2"/>
      <c r="Q442" s="2"/>
      <c r="R442" s="2"/>
      <c r="S442" s="2"/>
      <c r="T442" s="2" t="s">
        <v>2041</v>
      </c>
    </row>
    <row r="443" spans="1:20" ht="45" hidden="1" x14ac:dyDescent="0.25">
      <c r="A443" t="str">
        <f>INDEX('Orig (V1_BCK)'!$C:$C,MATCH($B443,'Orig (V1_BCK)'!$C:$C,0),1)</f>
        <v>R4251279-I0216489-</v>
      </c>
      <c r="B443" s="3" t="str">
        <f t="shared" si="6"/>
        <v>R4251279-I0216489-</v>
      </c>
      <c r="C443" s="2" t="s">
        <v>108</v>
      </c>
      <c r="D443" s="2" t="s">
        <v>109</v>
      </c>
      <c r="E443" s="2" t="s">
        <v>110</v>
      </c>
      <c r="F443" s="2" t="s">
        <v>111</v>
      </c>
      <c r="G443" s="2" t="s">
        <v>2076</v>
      </c>
      <c r="H443" s="2" t="s">
        <v>112</v>
      </c>
      <c r="I443" s="2" t="s">
        <v>393</v>
      </c>
      <c r="J443" s="2"/>
      <c r="K443" s="2" t="s">
        <v>2077</v>
      </c>
      <c r="L443" s="2" t="s">
        <v>394</v>
      </c>
      <c r="M443" s="2"/>
      <c r="N443" s="2" t="s">
        <v>395</v>
      </c>
      <c r="O443" s="2"/>
      <c r="P443" s="2"/>
      <c r="Q443" s="2"/>
      <c r="R443" s="2"/>
      <c r="S443" s="2"/>
      <c r="T443" s="2" t="s">
        <v>2041</v>
      </c>
    </row>
    <row r="444" spans="1:20" ht="45" hidden="1" x14ac:dyDescent="0.25">
      <c r="A444" t="str">
        <f>INDEX('Orig (V1_BCK)'!$C:$C,MATCH($B444,'Orig (V1_BCK)'!$C:$C,0),1)</f>
        <v>R4251279-I2505212-</v>
      </c>
      <c r="B444" s="3" t="str">
        <f t="shared" si="6"/>
        <v>R4251279-I2505212-</v>
      </c>
      <c r="C444" s="2" t="s">
        <v>108</v>
      </c>
      <c r="D444" s="2" t="s">
        <v>109</v>
      </c>
      <c r="E444" s="2" t="s">
        <v>110</v>
      </c>
      <c r="F444" s="2" t="s">
        <v>111</v>
      </c>
      <c r="G444" s="2" t="s">
        <v>2076</v>
      </c>
      <c r="H444" s="2" t="s">
        <v>112</v>
      </c>
      <c r="I444" s="2" t="s">
        <v>326</v>
      </c>
      <c r="J444" s="2"/>
      <c r="K444" s="2" t="s">
        <v>2077</v>
      </c>
      <c r="L444" s="2" t="s">
        <v>327</v>
      </c>
      <c r="M444" s="2"/>
      <c r="N444" s="2" t="s">
        <v>328</v>
      </c>
      <c r="O444" s="2"/>
      <c r="P444" s="2"/>
      <c r="Q444" s="2"/>
      <c r="R444" s="2"/>
      <c r="S444" s="2"/>
      <c r="T444" s="2" t="s">
        <v>2041</v>
      </c>
    </row>
    <row r="445" spans="1:20" ht="45" hidden="1" x14ac:dyDescent="0.25">
      <c r="A445" t="str">
        <f>INDEX('Orig (V1_BCK)'!$C:$C,MATCH($B445,'Orig (V1_BCK)'!$C:$C,0),1)</f>
        <v>R4251279-I4793714-</v>
      </c>
      <c r="B445" s="3" t="str">
        <f t="shared" si="6"/>
        <v>R4251279-I4793714-</v>
      </c>
      <c r="C445" s="2" t="s">
        <v>108</v>
      </c>
      <c r="D445" s="2" t="s">
        <v>109</v>
      </c>
      <c r="E445" s="2" t="s">
        <v>110</v>
      </c>
      <c r="F445" s="2" t="s">
        <v>111</v>
      </c>
      <c r="G445" s="2" t="s">
        <v>2076</v>
      </c>
      <c r="H445" s="2" t="s">
        <v>112</v>
      </c>
      <c r="I445" s="2" t="s">
        <v>421</v>
      </c>
      <c r="J445" s="2"/>
      <c r="K445" s="2" t="s">
        <v>2077</v>
      </c>
      <c r="L445" s="2" t="s">
        <v>394</v>
      </c>
      <c r="M445" s="2"/>
      <c r="N445" s="2" t="s">
        <v>422</v>
      </c>
      <c r="O445" s="2"/>
      <c r="P445" s="2"/>
      <c r="Q445" s="2"/>
      <c r="R445" s="2"/>
      <c r="S445" s="2"/>
      <c r="T445" s="2" t="s">
        <v>2041</v>
      </c>
    </row>
    <row r="446" spans="1:20" ht="45" hidden="1" x14ac:dyDescent="0.25">
      <c r="A446" t="str">
        <f>INDEX('Orig (V1_BCK)'!$C:$C,MATCH($B446,'Orig (V1_BCK)'!$C:$C,0),1)</f>
        <v>R4251279-I8657204-</v>
      </c>
      <c r="B446" s="3" t="str">
        <f t="shared" si="6"/>
        <v>R4251279-I8657204-</v>
      </c>
      <c r="C446" s="2" t="s">
        <v>108</v>
      </c>
      <c r="D446" s="2" t="s">
        <v>109</v>
      </c>
      <c r="E446" s="2" t="s">
        <v>110</v>
      </c>
      <c r="F446" s="2" t="s">
        <v>111</v>
      </c>
      <c r="G446" s="2" t="s">
        <v>2076</v>
      </c>
      <c r="H446" s="2" t="s">
        <v>112</v>
      </c>
      <c r="I446" s="2" t="s">
        <v>291</v>
      </c>
      <c r="J446" s="2"/>
      <c r="K446" s="2" t="s">
        <v>2077</v>
      </c>
      <c r="L446" s="2" t="s">
        <v>292</v>
      </c>
      <c r="M446" s="2"/>
      <c r="N446" s="2" t="s">
        <v>293</v>
      </c>
      <c r="O446" s="2"/>
      <c r="P446" s="2"/>
      <c r="Q446" s="2"/>
      <c r="R446" s="2"/>
      <c r="S446" s="2"/>
      <c r="T446" s="2" t="s">
        <v>2041</v>
      </c>
    </row>
    <row r="447" spans="1:20" ht="45" hidden="1" x14ac:dyDescent="0.25">
      <c r="A447" t="str">
        <f>INDEX('Orig (V1_BCK)'!$C:$C,MATCH($B447,'Orig (V1_BCK)'!$C:$C,0),1)</f>
        <v>R4251279-J0489795-</v>
      </c>
      <c r="B447" s="3" t="str">
        <f t="shared" si="6"/>
        <v>R4251279-J0489795-</v>
      </c>
      <c r="C447" s="2" t="s">
        <v>108</v>
      </c>
      <c r="D447" s="2" t="s">
        <v>109</v>
      </c>
      <c r="E447" s="2" t="s">
        <v>110</v>
      </c>
      <c r="F447" s="2" t="s">
        <v>111</v>
      </c>
      <c r="G447" s="2" t="s">
        <v>2076</v>
      </c>
      <c r="H447" s="2" t="s">
        <v>112</v>
      </c>
      <c r="I447" s="2" t="s">
        <v>233</v>
      </c>
      <c r="J447" s="2"/>
      <c r="K447" s="2" t="s">
        <v>2077</v>
      </c>
      <c r="L447" s="2" t="s">
        <v>234</v>
      </c>
      <c r="M447" s="2"/>
      <c r="N447" s="2" t="s">
        <v>235</v>
      </c>
      <c r="O447" s="2"/>
      <c r="P447" s="2"/>
      <c r="Q447" s="2"/>
      <c r="R447" s="2"/>
      <c r="S447" s="2"/>
      <c r="T447" s="2" t="s">
        <v>2041</v>
      </c>
    </row>
    <row r="448" spans="1:20" ht="45" hidden="1" x14ac:dyDescent="0.25">
      <c r="A448" t="str">
        <f>INDEX('Orig (V1_BCK)'!$C:$C,MATCH($B448,'Orig (V1_BCK)'!$C:$C,0),1)</f>
        <v>R4251279-J0804400-</v>
      </c>
      <c r="B448" s="3" t="str">
        <f t="shared" si="6"/>
        <v>R4251279-J0804400-</v>
      </c>
      <c r="C448" s="2" t="s">
        <v>108</v>
      </c>
      <c r="D448" s="2" t="s">
        <v>109</v>
      </c>
      <c r="E448" s="2" t="s">
        <v>110</v>
      </c>
      <c r="F448" s="2" t="s">
        <v>111</v>
      </c>
      <c r="G448" s="2" t="s">
        <v>2076</v>
      </c>
      <c r="H448" s="2" t="s">
        <v>112</v>
      </c>
      <c r="I448" s="2" t="s">
        <v>146</v>
      </c>
      <c r="J448" s="2"/>
      <c r="K448" s="2" t="s">
        <v>2077</v>
      </c>
      <c r="L448" s="2" t="s">
        <v>147</v>
      </c>
      <c r="M448" s="2"/>
      <c r="N448" s="2" t="s">
        <v>148</v>
      </c>
      <c r="O448" s="2"/>
      <c r="P448" s="2"/>
      <c r="Q448" s="2"/>
      <c r="R448" s="2"/>
      <c r="S448" s="2"/>
      <c r="T448" s="2" t="s">
        <v>2041</v>
      </c>
    </row>
    <row r="449" spans="1:20" ht="45" hidden="1" x14ac:dyDescent="0.25">
      <c r="A449" t="str">
        <f>INDEX('Orig (V1_BCK)'!$C:$C,MATCH($B449,'Orig (V1_BCK)'!$C:$C,0),1)</f>
        <v>R4251279-J1131990-</v>
      </c>
      <c r="B449" s="3" t="str">
        <f t="shared" si="6"/>
        <v>R4251279-J1131990-</v>
      </c>
      <c r="C449" s="2" t="s">
        <v>108</v>
      </c>
      <c r="D449" s="2" t="s">
        <v>109</v>
      </c>
      <c r="E449" s="2" t="s">
        <v>110</v>
      </c>
      <c r="F449" s="2" t="s">
        <v>111</v>
      </c>
      <c r="G449" s="2" t="s">
        <v>2076</v>
      </c>
      <c r="H449" s="2" t="s">
        <v>112</v>
      </c>
      <c r="I449" s="2" t="s">
        <v>201</v>
      </c>
      <c r="J449" s="2"/>
      <c r="K449" s="2" t="s">
        <v>2077</v>
      </c>
      <c r="L449" s="2" t="s">
        <v>202</v>
      </c>
      <c r="M449" s="2"/>
      <c r="N449" s="2" t="s">
        <v>203</v>
      </c>
      <c r="O449" s="2"/>
      <c r="P449" s="2"/>
      <c r="Q449" s="2"/>
      <c r="R449" s="2"/>
      <c r="S449" s="2"/>
      <c r="T449" s="2" t="s">
        <v>2041</v>
      </c>
    </row>
    <row r="450" spans="1:20" ht="45" hidden="1" x14ac:dyDescent="0.25">
      <c r="A450" t="str">
        <f>INDEX('Orig (V1_BCK)'!$C:$C,MATCH($B450,'Orig (V1_BCK)'!$C:$C,0),1)</f>
        <v>R4251279-J1573527-</v>
      </c>
      <c r="B450" s="3" t="str">
        <f t="shared" si="6"/>
        <v>R4251279-J1573527-</v>
      </c>
      <c r="C450" s="2" t="s">
        <v>108</v>
      </c>
      <c r="D450" s="2" t="s">
        <v>109</v>
      </c>
      <c r="E450" s="2" t="s">
        <v>110</v>
      </c>
      <c r="F450" s="2" t="s">
        <v>111</v>
      </c>
      <c r="G450" s="2" t="s">
        <v>2076</v>
      </c>
      <c r="H450" s="2" t="s">
        <v>112</v>
      </c>
      <c r="I450" s="2" t="s">
        <v>167</v>
      </c>
      <c r="J450" s="2"/>
      <c r="K450" s="2" t="s">
        <v>2077</v>
      </c>
      <c r="L450" s="2" t="s">
        <v>168</v>
      </c>
      <c r="M450" s="2"/>
      <c r="N450" s="2" t="s">
        <v>169</v>
      </c>
      <c r="O450" s="2"/>
      <c r="P450" s="2"/>
      <c r="Q450" s="2"/>
      <c r="R450" s="2"/>
      <c r="S450" s="2"/>
      <c r="T450" s="2" t="s">
        <v>2041</v>
      </c>
    </row>
    <row r="451" spans="1:20" ht="45" hidden="1" x14ac:dyDescent="0.25">
      <c r="A451" t="str">
        <f>INDEX('Orig (V1_BCK)'!$C:$C,MATCH($B451,'Orig (V1_BCK)'!$C:$C,0),1)</f>
        <v>R4251279-J1640357-</v>
      </c>
      <c r="B451" s="3" t="str">
        <f t="shared" ref="B451:B514" si="7">_xlfn.TEXTJOIN("-",FALSE,$C451,$I451,$J451)</f>
        <v>R4251279-J1640357-</v>
      </c>
      <c r="C451" s="2" t="s">
        <v>108</v>
      </c>
      <c r="D451" s="2" t="s">
        <v>109</v>
      </c>
      <c r="E451" s="2" t="s">
        <v>110</v>
      </c>
      <c r="F451" s="2" t="s">
        <v>111</v>
      </c>
      <c r="G451" s="2" t="s">
        <v>2076</v>
      </c>
      <c r="H451" s="2" t="s">
        <v>112</v>
      </c>
      <c r="I451" s="2" t="s">
        <v>207</v>
      </c>
      <c r="J451" s="2"/>
      <c r="K451" s="2" t="s">
        <v>2077</v>
      </c>
      <c r="L451" s="2" t="s">
        <v>208</v>
      </c>
      <c r="M451" s="2"/>
      <c r="N451" s="2" t="s">
        <v>163</v>
      </c>
      <c r="O451" s="2"/>
      <c r="P451" s="2"/>
      <c r="Q451" s="2"/>
      <c r="R451" s="2"/>
      <c r="S451" s="2"/>
      <c r="T451" s="2" t="s">
        <v>2041</v>
      </c>
    </row>
    <row r="452" spans="1:20" ht="45" hidden="1" x14ac:dyDescent="0.25">
      <c r="A452" t="str">
        <f>INDEX('Orig (V1_BCK)'!$C:$C,MATCH($B452,'Orig (V1_BCK)'!$C:$C,0),1)</f>
        <v>R4251279-J5018536-</v>
      </c>
      <c r="B452" s="3" t="str">
        <f t="shared" si="7"/>
        <v>R4251279-J5018536-</v>
      </c>
      <c r="C452" s="2" t="s">
        <v>108</v>
      </c>
      <c r="D452" s="2" t="s">
        <v>109</v>
      </c>
      <c r="E452" s="2" t="s">
        <v>110</v>
      </c>
      <c r="F452" s="2" t="s">
        <v>111</v>
      </c>
      <c r="G452" s="2" t="s">
        <v>2076</v>
      </c>
      <c r="H452" s="2" t="s">
        <v>112</v>
      </c>
      <c r="I452" s="2" t="s">
        <v>123</v>
      </c>
      <c r="J452" s="2"/>
      <c r="K452" s="2" t="s">
        <v>2077</v>
      </c>
      <c r="L452" s="2" t="s">
        <v>124</v>
      </c>
      <c r="M452" s="2"/>
      <c r="N452" s="2" t="s">
        <v>125</v>
      </c>
      <c r="O452" s="2"/>
      <c r="P452" s="2"/>
      <c r="Q452" s="2"/>
      <c r="R452" s="2"/>
      <c r="S452" s="2"/>
      <c r="T452" s="2" t="s">
        <v>2041</v>
      </c>
    </row>
    <row r="453" spans="1:20" ht="45" hidden="1" x14ac:dyDescent="0.25">
      <c r="A453" t="str">
        <f>INDEX('Orig (V1_BCK)'!$C:$C,MATCH($B453,'Orig (V1_BCK)'!$C:$C,0),1)</f>
        <v>R4251279-J5430379-</v>
      </c>
      <c r="B453" s="3" t="str">
        <f t="shared" si="7"/>
        <v>R4251279-J5430379-</v>
      </c>
      <c r="C453" s="2" t="s">
        <v>108</v>
      </c>
      <c r="D453" s="2" t="s">
        <v>109</v>
      </c>
      <c r="E453" s="2" t="s">
        <v>110</v>
      </c>
      <c r="F453" s="2" t="s">
        <v>111</v>
      </c>
      <c r="G453" s="2" t="s">
        <v>2076</v>
      </c>
      <c r="H453" s="2" t="s">
        <v>112</v>
      </c>
      <c r="I453" s="2" t="s">
        <v>257</v>
      </c>
      <c r="J453" s="2"/>
      <c r="K453" s="2" t="s">
        <v>2077</v>
      </c>
      <c r="L453" s="2" t="s">
        <v>258</v>
      </c>
      <c r="M453" s="2"/>
      <c r="N453" s="2" t="s">
        <v>259</v>
      </c>
      <c r="O453" s="2"/>
      <c r="P453" s="2"/>
      <c r="Q453" s="2"/>
      <c r="R453" s="2"/>
      <c r="S453" s="2"/>
      <c r="T453" s="2" t="s">
        <v>2041</v>
      </c>
    </row>
    <row r="454" spans="1:20" ht="45" hidden="1" x14ac:dyDescent="0.25">
      <c r="A454" t="str">
        <f>INDEX('Orig (V1_BCK)'!$C:$C,MATCH($B454,'Orig (V1_BCK)'!$C:$C,0),1)</f>
        <v>R4251279-J5822076-</v>
      </c>
      <c r="B454" s="3" t="str">
        <f t="shared" si="7"/>
        <v>R4251279-J5822076-</v>
      </c>
      <c r="C454" s="2" t="s">
        <v>108</v>
      </c>
      <c r="D454" s="2" t="s">
        <v>109</v>
      </c>
      <c r="E454" s="2" t="s">
        <v>110</v>
      </c>
      <c r="F454" s="2" t="s">
        <v>111</v>
      </c>
      <c r="G454" s="2" t="s">
        <v>2076</v>
      </c>
      <c r="H454" s="2" t="s">
        <v>112</v>
      </c>
      <c r="I454" s="2" t="s">
        <v>181</v>
      </c>
      <c r="J454" s="2"/>
      <c r="K454" s="2" t="s">
        <v>2077</v>
      </c>
      <c r="L454" s="2" t="s">
        <v>182</v>
      </c>
      <c r="M454" s="2"/>
      <c r="N454" s="2" t="s">
        <v>183</v>
      </c>
      <c r="O454" s="2"/>
      <c r="P454" s="2"/>
      <c r="Q454" s="2"/>
      <c r="R454" s="2"/>
      <c r="S454" s="2"/>
      <c r="T454" s="2" t="s">
        <v>2041</v>
      </c>
    </row>
    <row r="455" spans="1:20" ht="45" hidden="1" x14ac:dyDescent="0.25">
      <c r="A455" t="str">
        <f>INDEX('Orig (V1_BCK)'!$C:$C,MATCH($B455,'Orig (V1_BCK)'!$C:$C,0),1)</f>
        <v>R4251279-J9085499-</v>
      </c>
      <c r="B455" s="3" t="str">
        <f t="shared" si="7"/>
        <v>R4251279-J9085499-</v>
      </c>
      <c r="C455" s="2" t="s">
        <v>108</v>
      </c>
      <c r="D455" s="2" t="s">
        <v>109</v>
      </c>
      <c r="E455" s="2" t="s">
        <v>110</v>
      </c>
      <c r="F455" s="2" t="s">
        <v>111</v>
      </c>
      <c r="G455" s="2" t="s">
        <v>2076</v>
      </c>
      <c r="H455" s="2" t="s">
        <v>112</v>
      </c>
      <c r="I455" s="2" t="s">
        <v>126</v>
      </c>
      <c r="J455" s="2"/>
      <c r="K455" s="2" t="s">
        <v>2077</v>
      </c>
      <c r="L455" s="2" t="s">
        <v>127</v>
      </c>
      <c r="M455" s="2"/>
      <c r="N455" s="2" t="s">
        <v>128</v>
      </c>
      <c r="O455" s="2"/>
      <c r="P455" s="2"/>
      <c r="Q455" s="2"/>
      <c r="R455" s="2"/>
      <c r="S455" s="2"/>
      <c r="T455" s="2" t="s">
        <v>2041</v>
      </c>
    </row>
    <row r="456" spans="1:20" ht="45" hidden="1" x14ac:dyDescent="0.25">
      <c r="A456" t="str">
        <f>INDEX('Orig (V1_BCK)'!$C:$C,MATCH($B456,'Orig (V1_BCK)'!$C:$C,0),1)</f>
        <v>R4251279-J9108150-</v>
      </c>
      <c r="B456" s="3" t="str">
        <f t="shared" si="7"/>
        <v>R4251279-J9108150-</v>
      </c>
      <c r="C456" s="2" t="s">
        <v>108</v>
      </c>
      <c r="D456" s="2" t="s">
        <v>109</v>
      </c>
      <c r="E456" s="2" t="s">
        <v>110</v>
      </c>
      <c r="F456" s="2" t="s">
        <v>111</v>
      </c>
      <c r="G456" s="2" t="s">
        <v>2076</v>
      </c>
      <c r="H456" s="2" t="s">
        <v>112</v>
      </c>
      <c r="I456" s="2" t="s">
        <v>172</v>
      </c>
      <c r="J456" s="2"/>
      <c r="K456" s="2" t="s">
        <v>2077</v>
      </c>
      <c r="L456" s="2" t="s">
        <v>173</v>
      </c>
      <c r="M456" s="2"/>
      <c r="N456" s="2" t="s">
        <v>174</v>
      </c>
      <c r="O456" s="2"/>
      <c r="P456" s="2"/>
      <c r="Q456" s="2"/>
      <c r="R456" s="2"/>
      <c r="S456" s="2"/>
      <c r="T456" s="2" t="s">
        <v>2041</v>
      </c>
    </row>
    <row r="457" spans="1:20" ht="45" hidden="1" x14ac:dyDescent="0.25">
      <c r="A457" t="str">
        <f>INDEX('Orig (V1_BCK)'!$C:$C,MATCH($B457,'Orig (V1_BCK)'!$C:$C,0),1)</f>
        <v>R4251279-J9539848-</v>
      </c>
      <c r="B457" s="3" t="str">
        <f t="shared" si="7"/>
        <v>R4251279-J9539848-</v>
      </c>
      <c r="C457" s="2" t="s">
        <v>108</v>
      </c>
      <c r="D457" s="2" t="s">
        <v>109</v>
      </c>
      <c r="E457" s="2" t="s">
        <v>110</v>
      </c>
      <c r="F457" s="2" t="s">
        <v>111</v>
      </c>
      <c r="G457" s="2" t="s">
        <v>2076</v>
      </c>
      <c r="H457" s="2" t="s">
        <v>112</v>
      </c>
      <c r="I457" s="2" t="s">
        <v>132</v>
      </c>
      <c r="J457" s="2"/>
      <c r="K457" s="2" t="s">
        <v>2077</v>
      </c>
      <c r="L457" s="2" t="s">
        <v>127</v>
      </c>
      <c r="M457" s="2"/>
      <c r="N457" s="2" t="s">
        <v>133</v>
      </c>
      <c r="O457" s="2"/>
      <c r="P457" s="2"/>
      <c r="Q457" s="2"/>
      <c r="R457" s="2"/>
      <c r="S457" s="2"/>
      <c r="T457" s="2" t="s">
        <v>2041</v>
      </c>
    </row>
    <row r="458" spans="1:20" ht="45" hidden="1" x14ac:dyDescent="0.25">
      <c r="A458" t="str">
        <f>INDEX('Orig (V1_BCK)'!$C:$C,MATCH($B458,'Orig (V1_BCK)'!$C:$C,0),1)</f>
        <v>R4251279-K0341276-</v>
      </c>
      <c r="B458" s="3" t="str">
        <f t="shared" si="7"/>
        <v>R4251279-K0341276-</v>
      </c>
      <c r="C458" s="2" t="s">
        <v>108</v>
      </c>
      <c r="D458" s="2" t="s">
        <v>109</v>
      </c>
      <c r="E458" s="2" t="s">
        <v>110</v>
      </c>
      <c r="F458" s="2" t="s">
        <v>111</v>
      </c>
      <c r="G458" s="2" t="s">
        <v>2076</v>
      </c>
      <c r="H458" s="2" t="s">
        <v>112</v>
      </c>
      <c r="I458" s="2" t="s">
        <v>274</v>
      </c>
      <c r="J458" s="2"/>
      <c r="K458" s="2" t="s">
        <v>2077</v>
      </c>
      <c r="L458" s="2" t="s">
        <v>275</v>
      </c>
      <c r="M458" s="2"/>
      <c r="N458" s="2" t="s">
        <v>276</v>
      </c>
      <c r="O458" s="2"/>
      <c r="P458" s="2"/>
      <c r="Q458" s="2"/>
      <c r="R458" s="2"/>
      <c r="S458" s="2"/>
      <c r="T458" s="2" t="s">
        <v>2041</v>
      </c>
    </row>
    <row r="459" spans="1:20" ht="45" hidden="1" x14ac:dyDescent="0.25">
      <c r="A459" t="str">
        <f>INDEX('Orig (V1_BCK)'!$C:$C,MATCH($B459,'Orig (V1_BCK)'!$C:$C,0),1)</f>
        <v>R4251279-K4248020-</v>
      </c>
      <c r="B459" s="3" t="str">
        <f t="shared" si="7"/>
        <v>R4251279-K4248020-</v>
      </c>
      <c r="C459" s="2" t="s">
        <v>108</v>
      </c>
      <c r="D459" s="2" t="s">
        <v>109</v>
      </c>
      <c r="E459" s="2" t="s">
        <v>110</v>
      </c>
      <c r="F459" s="2" t="s">
        <v>111</v>
      </c>
      <c r="G459" s="2" t="s">
        <v>2076</v>
      </c>
      <c r="H459" s="2" t="s">
        <v>112</v>
      </c>
      <c r="I459" s="2" t="s">
        <v>320</v>
      </c>
      <c r="J459" s="2"/>
      <c r="K459" s="2" t="s">
        <v>2077</v>
      </c>
      <c r="L459" s="2" t="s">
        <v>321</v>
      </c>
      <c r="M459" s="2"/>
      <c r="N459" s="2" t="s">
        <v>322</v>
      </c>
      <c r="O459" s="2"/>
      <c r="P459" s="2"/>
      <c r="Q459" s="2"/>
      <c r="R459" s="2"/>
      <c r="S459" s="2"/>
      <c r="T459" s="2" t="s">
        <v>2041</v>
      </c>
    </row>
    <row r="460" spans="1:20" ht="45" hidden="1" x14ac:dyDescent="0.25">
      <c r="A460" t="str">
        <f>INDEX('Orig (V1_BCK)'!$C:$C,MATCH($B460,'Orig (V1_BCK)'!$C:$C,0),1)</f>
        <v>R4251279-K5092393-</v>
      </c>
      <c r="B460" s="3" t="str">
        <f t="shared" si="7"/>
        <v>R4251279-K5092393-</v>
      </c>
      <c r="C460" s="2" t="s">
        <v>108</v>
      </c>
      <c r="D460" s="2" t="s">
        <v>109</v>
      </c>
      <c r="E460" s="2" t="s">
        <v>110</v>
      </c>
      <c r="F460" s="2" t="s">
        <v>111</v>
      </c>
      <c r="G460" s="2" t="s">
        <v>2076</v>
      </c>
      <c r="H460" s="2" t="s">
        <v>112</v>
      </c>
      <c r="I460" s="2" t="s">
        <v>294</v>
      </c>
      <c r="J460" s="2"/>
      <c r="K460" s="2" t="s">
        <v>2077</v>
      </c>
      <c r="L460" s="2" t="s">
        <v>295</v>
      </c>
      <c r="M460" s="2"/>
      <c r="N460" s="2" t="s">
        <v>296</v>
      </c>
      <c r="O460" s="2"/>
      <c r="P460" s="2"/>
      <c r="Q460" s="2"/>
      <c r="R460" s="2"/>
      <c r="S460" s="2"/>
      <c r="T460" s="2" t="s">
        <v>2041</v>
      </c>
    </row>
    <row r="461" spans="1:20" ht="45" hidden="1" x14ac:dyDescent="0.25">
      <c r="A461" t="str">
        <f>INDEX('Orig (V1_BCK)'!$C:$C,MATCH($B461,'Orig (V1_BCK)'!$C:$C,0),1)</f>
        <v>R4251279-K6829701-</v>
      </c>
      <c r="B461" s="3" t="str">
        <f t="shared" si="7"/>
        <v>R4251279-K6829701-</v>
      </c>
      <c r="C461" s="2" t="s">
        <v>108</v>
      </c>
      <c r="D461" s="2" t="s">
        <v>109</v>
      </c>
      <c r="E461" s="2" t="s">
        <v>110</v>
      </c>
      <c r="F461" s="2" t="s">
        <v>111</v>
      </c>
      <c r="G461" s="2" t="s">
        <v>2076</v>
      </c>
      <c r="H461" s="2" t="s">
        <v>112</v>
      </c>
      <c r="I461" s="2" t="s">
        <v>277</v>
      </c>
      <c r="J461" s="2"/>
      <c r="K461" s="2" t="s">
        <v>2077</v>
      </c>
      <c r="L461" s="2" t="s">
        <v>275</v>
      </c>
      <c r="M461" s="2"/>
      <c r="N461" s="2" t="s">
        <v>278</v>
      </c>
      <c r="O461" s="2"/>
      <c r="P461" s="2"/>
      <c r="Q461" s="2"/>
      <c r="R461" s="2"/>
      <c r="S461" s="2"/>
      <c r="T461" s="2" t="s">
        <v>2041</v>
      </c>
    </row>
    <row r="462" spans="1:20" ht="45" hidden="1" x14ac:dyDescent="0.25">
      <c r="A462" t="str">
        <f>INDEX('Orig (V1_BCK)'!$C:$C,MATCH($B462,'Orig (V1_BCK)'!$C:$C,0),1)</f>
        <v>R4251279-K9328312-</v>
      </c>
      <c r="B462" s="3" t="str">
        <f t="shared" si="7"/>
        <v>R4251279-K9328312-</v>
      </c>
      <c r="C462" s="2" t="s">
        <v>108</v>
      </c>
      <c r="D462" s="2" t="s">
        <v>109</v>
      </c>
      <c r="E462" s="2" t="s">
        <v>110</v>
      </c>
      <c r="F462" s="2" t="s">
        <v>111</v>
      </c>
      <c r="G462" s="2" t="s">
        <v>2076</v>
      </c>
      <c r="H462" s="2" t="s">
        <v>112</v>
      </c>
      <c r="I462" s="2" t="s">
        <v>338</v>
      </c>
      <c r="J462" s="2"/>
      <c r="K462" s="2" t="s">
        <v>2077</v>
      </c>
      <c r="L462" s="2" t="s">
        <v>295</v>
      </c>
      <c r="M462" s="2"/>
      <c r="N462" s="2" t="s">
        <v>339</v>
      </c>
      <c r="O462" s="2"/>
      <c r="P462" s="2"/>
      <c r="Q462" s="2"/>
      <c r="R462" s="2"/>
      <c r="S462" s="2"/>
      <c r="T462" s="2" t="s">
        <v>2041</v>
      </c>
    </row>
    <row r="463" spans="1:20" ht="45" hidden="1" x14ac:dyDescent="0.25">
      <c r="A463" t="str">
        <f>INDEX('Orig (V1_BCK)'!$C:$C,MATCH($B463,'Orig (V1_BCK)'!$C:$C,0),1)</f>
        <v>R4251279-K9428348-</v>
      </c>
      <c r="B463" s="3" t="str">
        <f t="shared" si="7"/>
        <v>R4251279-K9428348-</v>
      </c>
      <c r="C463" s="2" t="s">
        <v>108</v>
      </c>
      <c r="D463" s="2" t="s">
        <v>109</v>
      </c>
      <c r="E463" s="2" t="s">
        <v>110</v>
      </c>
      <c r="F463" s="2" t="s">
        <v>111</v>
      </c>
      <c r="G463" s="2" t="s">
        <v>2076</v>
      </c>
      <c r="H463" s="2" t="s">
        <v>112</v>
      </c>
      <c r="I463" s="2" t="s">
        <v>306</v>
      </c>
      <c r="J463" s="2"/>
      <c r="K463" s="2" t="s">
        <v>2077</v>
      </c>
      <c r="L463" s="2" t="s">
        <v>307</v>
      </c>
      <c r="M463" s="2"/>
      <c r="N463" s="2" t="s">
        <v>308</v>
      </c>
      <c r="O463" s="2"/>
      <c r="P463" s="2"/>
      <c r="Q463" s="2"/>
      <c r="R463" s="2"/>
      <c r="S463" s="2"/>
      <c r="T463" s="2" t="s">
        <v>2041</v>
      </c>
    </row>
    <row r="464" spans="1:20" ht="45" hidden="1" x14ac:dyDescent="0.25">
      <c r="A464" t="str">
        <f>INDEX('Orig (V1_BCK)'!$C:$C,MATCH($B464,'Orig (V1_BCK)'!$C:$C,0),1)</f>
        <v>R4251279-L1379177-</v>
      </c>
      <c r="B464" s="3" t="str">
        <f t="shared" si="7"/>
        <v>R4251279-L1379177-</v>
      </c>
      <c r="C464" s="2" t="s">
        <v>108</v>
      </c>
      <c r="D464" s="2" t="s">
        <v>109</v>
      </c>
      <c r="E464" s="2" t="s">
        <v>110</v>
      </c>
      <c r="F464" s="2" t="s">
        <v>111</v>
      </c>
      <c r="G464" s="2" t="s">
        <v>2076</v>
      </c>
      <c r="H464" s="2" t="s">
        <v>112</v>
      </c>
      <c r="I464" s="2" t="s">
        <v>193</v>
      </c>
      <c r="J464" s="2"/>
      <c r="K464" s="2" t="s">
        <v>2077</v>
      </c>
      <c r="L464" s="2" t="s">
        <v>194</v>
      </c>
      <c r="M464" s="2"/>
      <c r="N464" s="2" t="s">
        <v>195</v>
      </c>
      <c r="O464" s="2"/>
      <c r="P464" s="2"/>
      <c r="Q464" s="2"/>
      <c r="R464" s="2"/>
      <c r="S464" s="2"/>
      <c r="T464" s="2" t="s">
        <v>2041</v>
      </c>
    </row>
    <row r="465" spans="1:20" ht="45" hidden="1" x14ac:dyDescent="0.25">
      <c r="A465" t="str">
        <f>INDEX('Orig (V1_BCK)'!$C:$C,MATCH($B465,'Orig (V1_BCK)'!$C:$C,0),1)</f>
        <v>R4251279-L1916684-</v>
      </c>
      <c r="B465" s="3" t="str">
        <f t="shared" si="7"/>
        <v>R4251279-L1916684-</v>
      </c>
      <c r="C465" s="2" t="s">
        <v>108</v>
      </c>
      <c r="D465" s="2" t="s">
        <v>109</v>
      </c>
      <c r="E465" s="2" t="s">
        <v>110</v>
      </c>
      <c r="F465" s="2" t="s">
        <v>111</v>
      </c>
      <c r="G465" s="2" t="s">
        <v>2076</v>
      </c>
      <c r="H465" s="2" t="s">
        <v>112</v>
      </c>
      <c r="I465" s="2" t="s">
        <v>196</v>
      </c>
      <c r="J465" s="2"/>
      <c r="K465" s="2" t="s">
        <v>2077</v>
      </c>
      <c r="L465" s="2" t="s">
        <v>197</v>
      </c>
      <c r="M465" s="2"/>
      <c r="N465" s="2" t="s">
        <v>133</v>
      </c>
      <c r="O465" s="2"/>
      <c r="P465" s="2"/>
      <c r="Q465" s="2"/>
      <c r="R465" s="2"/>
      <c r="S465" s="2"/>
      <c r="T465" s="2" t="s">
        <v>2041</v>
      </c>
    </row>
    <row r="466" spans="1:20" ht="45" hidden="1" x14ac:dyDescent="0.25">
      <c r="A466" t="str">
        <f>INDEX('Orig (V1_BCK)'!$C:$C,MATCH($B466,'Orig (V1_BCK)'!$C:$C,0),1)</f>
        <v>R4251279-L3774192-</v>
      </c>
      <c r="B466" s="3" t="str">
        <f t="shared" si="7"/>
        <v>R4251279-L3774192-</v>
      </c>
      <c r="C466" s="2" t="s">
        <v>108</v>
      </c>
      <c r="D466" s="2" t="s">
        <v>109</v>
      </c>
      <c r="E466" s="2" t="s">
        <v>110</v>
      </c>
      <c r="F466" s="2" t="s">
        <v>111</v>
      </c>
      <c r="G466" s="2" t="s">
        <v>2076</v>
      </c>
      <c r="H466" s="2" t="s">
        <v>112</v>
      </c>
      <c r="I466" s="2" t="s">
        <v>134</v>
      </c>
      <c r="J466" s="2"/>
      <c r="K466" s="2" t="s">
        <v>2077</v>
      </c>
      <c r="L466" s="2" t="s">
        <v>135</v>
      </c>
      <c r="M466" s="2"/>
      <c r="N466" s="2" t="s">
        <v>136</v>
      </c>
      <c r="O466" s="2"/>
      <c r="P466" s="2"/>
      <c r="Q466" s="2"/>
      <c r="R466" s="2"/>
      <c r="S466" s="2"/>
      <c r="T466" s="2" t="s">
        <v>2041</v>
      </c>
    </row>
    <row r="467" spans="1:20" ht="45" hidden="1" x14ac:dyDescent="0.25">
      <c r="A467" t="str">
        <f>INDEX('Orig (V1_BCK)'!$C:$C,MATCH($B467,'Orig (V1_BCK)'!$C:$C,0),1)</f>
        <v>R4251279-L5865003-</v>
      </c>
      <c r="B467" s="3" t="str">
        <f t="shared" si="7"/>
        <v>R4251279-L5865003-</v>
      </c>
      <c r="C467" s="2" t="s">
        <v>108</v>
      </c>
      <c r="D467" s="2" t="s">
        <v>109</v>
      </c>
      <c r="E467" s="2" t="s">
        <v>110</v>
      </c>
      <c r="F467" s="2" t="s">
        <v>111</v>
      </c>
      <c r="G467" s="2" t="s">
        <v>2076</v>
      </c>
      <c r="H467" s="2" t="s">
        <v>112</v>
      </c>
      <c r="I467" s="2" t="s">
        <v>388</v>
      </c>
      <c r="J467" s="2"/>
      <c r="K467" s="2" t="s">
        <v>2077</v>
      </c>
      <c r="L467" s="2" t="s">
        <v>389</v>
      </c>
      <c r="M467" s="2"/>
      <c r="N467" s="2" t="s">
        <v>390</v>
      </c>
      <c r="O467" s="2"/>
      <c r="P467" s="2"/>
      <c r="Q467" s="2"/>
      <c r="R467" s="2"/>
      <c r="S467" s="2"/>
      <c r="T467" s="2" t="s">
        <v>2041</v>
      </c>
    </row>
    <row r="468" spans="1:20" ht="45" hidden="1" x14ac:dyDescent="0.25">
      <c r="A468" t="str">
        <f>INDEX('Orig (V1_BCK)'!$C:$C,MATCH($B468,'Orig (V1_BCK)'!$C:$C,0),1)</f>
        <v>R4251279-L6208379-</v>
      </c>
      <c r="B468" s="3" t="str">
        <f t="shared" si="7"/>
        <v>R4251279-L6208379-</v>
      </c>
      <c r="C468" s="2" t="s">
        <v>108</v>
      </c>
      <c r="D468" s="2" t="s">
        <v>109</v>
      </c>
      <c r="E468" s="2" t="s">
        <v>110</v>
      </c>
      <c r="F468" s="2" t="s">
        <v>111</v>
      </c>
      <c r="G468" s="2" t="s">
        <v>2076</v>
      </c>
      <c r="H468" s="2" t="s">
        <v>112</v>
      </c>
      <c r="I468" s="2" t="s">
        <v>329</v>
      </c>
      <c r="J468" s="2"/>
      <c r="K468" s="2" t="s">
        <v>2077</v>
      </c>
      <c r="L468" s="2" t="s">
        <v>330</v>
      </c>
      <c r="M468" s="2"/>
      <c r="N468" s="2" t="s">
        <v>331</v>
      </c>
      <c r="O468" s="2"/>
      <c r="P468" s="2"/>
      <c r="Q468" s="2"/>
      <c r="R468" s="2"/>
      <c r="S468" s="2"/>
      <c r="T468" s="2" t="s">
        <v>2041</v>
      </c>
    </row>
    <row r="469" spans="1:20" ht="45" hidden="1" x14ac:dyDescent="0.25">
      <c r="A469" t="str">
        <f>INDEX('Orig (V1_BCK)'!$C:$C,MATCH($B469,'Orig (V1_BCK)'!$C:$C,0),1)</f>
        <v>R4251279-L7446926-</v>
      </c>
      <c r="B469" s="3" t="str">
        <f t="shared" si="7"/>
        <v>R4251279-L7446926-</v>
      </c>
      <c r="C469" s="2" t="s">
        <v>108</v>
      </c>
      <c r="D469" s="2" t="s">
        <v>109</v>
      </c>
      <c r="E469" s="2" t="s">
        <v>110</v>
      </c>
      <c r="F469" s="2" t="s">
        <v>111</v>
      </c>
      <c r="G469" s="2" t="s">
        <v>2076</v>
      </c>
      <c r="H469" s="2" t="s">
        <v>112</v>
      </c>
      <c r="I469" s="2" t="s">
        <v>220</v>
      </c>
      <c r="J469" s="2"/>
      <c r="K469" s="2" t="s">
        <v>2077</v>
      </c>
      <c r="L469" s="2" t="s">
        <v>194</v>
      </c>
      <c r="M469" s="2"/>
      <c r="N469" s="2" t="s">
        <v>128</v>
      </c>
      <c r="O469" s="2"/>
      <c r="P469" s="2"/>
      <c r="Q469" s="2"/>
      <c r="R469" s="2"/>
      <c r="S469" s="2"/>
      <c r="T469" s="2" t="s">
        <v>2041</v>
      </c>
    </row>
    <row r="470" spans="1:20" ht="45" hidden="1" x14ac:dyDescent="0.25">
      <c r="A470" t="str">
        <f>INDEX('Orig (V1_BCK)'!$C:$C,MATCH($B470,'Orig (V1_BCK)'!$C:$C,0),1)</f>
        <v>R4251279-M0201041-</v>
      </c>
      <c r="B470" s="3" t="str">
        <f t="shared" si="7"/>
        <v>R4251279-M0201041-</v>
      </c>
      <c r="C470" s="2" t="s">
        <v>108</v>
      </c>
      <c r="D470" s="2" t="s">
        <v>109</v>
      </c>
      <c r="E470" s="2" t="s">
        <v>110</v>
      </c>
      <c r="F470" s="2" t="s">
        <v>111</v>
      </c>
      <c r="G470" s="2" t="s">
        <v>2076</v>
      </c>
      <c r="H470" s="2" t="s">
        <v>112</v>
      </c>
      <c r="I470" s="2" t="s">
        <v>209</v>
      </c>
      <c r="J470" s="2"/>
      <c r="K470" s="2" t="s">
        <v>2077</v>
      </c>
      <c r="L470" s="2" t="s">
        <v>210</v>
      </c>
      <c r="M470" s="2"/>
      <c r="N470" s="2" t="s">
        <v>211</v>
      </c>
      <c r="O470" s="2"/>
      <c r="P470" s="2"/>
      <c r="Q470" s="2"/>
      <c r="R470" s="2"/>
      <c r="S470" s="2"/>
      <c r="T470" s="2" t="s">
        <v>2041</v>
      </c>
    </row>
    <row r="471" spans="1:20" ht="45" hidden="1" x14ac:dyDescent="0.25">
      <c r="A471" t="str">
        <f>INDEX('Orig (V1_BCK)'!$C:$C,MATCH($B471,'Orig (V1_BCK)'!$C:$C,0),1)</f>
        <v>R4251279-M0987407-</v>
      </c>
      <c r="B471" s="3" t="str">
        <f t="shared" si="7"/>
        <v>R4251279-M0987407-</v>
      </c>
      <c r="C471" s="2" t="s">
        <v>108</v>
      </c>
      <c r="D471" s="2" t="s">
        <v>109</v>
      </c>
      <c r="E471" s="2" t="s">
        <v>110</v>
      </c>
      <c r="F471" s="2" t="s">
        <v>111</v>
      </c>
      <c r="G471" s="2" t="s">
        <v>2076</v>
      </c>
      <c r="H471" s="2" t="s">
        <v>112</v>
      </c>
      <c r="I471" s="2" t="s">
        <v>288</v>
      </c>
      <c r="J471" s="2"/>
      <c r="K471" s="2" t="s">
        <v>2077</v>
      </c>
      <c r="L471" s="2" t="s">
        <v>289</v>
      </c>
      <c r="M471" s="2"/>
      <c r="N471" s="2" t="s">
        <v>290</v>
      </c>
      <c r="O471" s="2"/>
      <c r="P471" s="2"/>
      <c r="Q471" s="2"/>
      <c r="R471" s="2"/>
      <c r="S471" s="2"/>
      <c r="T471" s="2" t="s">
        <v>2041</v>
      </c>
    </row>
    <row r="472" spans="1:20" ht="45" hidden="1" x14ac:dyDescent="0.25">
      <c r="A472" t="str">
        <f>INDEX('Orig (V1_BCK)'!$C:$C,MATCH($B472,'Orig (V1_BCK)'!$C:$C,0),1)</f>
        <v>R4251279-M1274603-</v>
      </c>
      <c r="B472" s="3" t="str">
        <f t="shared" si="7"/>
        <v>R4251279-M1274603-</v>
      </c>
      <c r="C472" s="2" t="s">
        <v>108</v>
      </c>
      <c r="D472" s="2" t="s">
        <v>109</v>
      </c>
      <c r="E472" s="2" t="s">
        <v>110</v>
      </c>
      <c r="F472" s="2" t="s">
        <v>111</v>
      </c>
      <c r="G472" s="2" t="s">
        <v>2076</v>
      </c>
      <c r="H472" s="2" t="s">
        <v>112</v>
      </c>
      <c r="I472" s="2" t="s">
        <v>263</v>
      </c>
      <c r="J472" s="2"/>
      <c r="K472" s="2" t="s">
        <v>2077</v>
      </c>
      <c r="L472" s="2" t="s">
        <v>264</v>
      </c>
      <c r="M472" s="2"/>
      <c r="N472" s="2" t="s">
        <v>265</v>
      </c>
      <c r="O472" s="2"/>
      <c r="P472" s="2"/>
      <c r="Q472" s="2"/>
      <c r="R472" s="2"/>
      <c r="S472" s="2"/>
      <c r="T472" s="2" t="s">
        <v>2041</v>
      </c>
    </row>
    <row r="473" spans="1:20" ht="45" hidden="1" x14ac:dyDescent="0.25">
      <c r="A473" t="str">
        <f>INDEX('Orig (V1_BCK)'!$C:$C,MATCH($B473,'Orig (V1_BCK)'!$C:$C,0),1)</f>
        <v>R4251279-M1504047-</v>
      </c>
      <c r="B473" s="3" t="str">
        <f t="shared" si="7"/>
        <v>R4251279-M1504047-</v>
      </c>
      <c r="C473" s="2" t="s">
        <v>108</v>
      </c>
      <c r="D473" s="2" t="s">
        <v>109</v>
      </c>
      <c r="E473" s="2" t="s">
        <v>110</v>
      </c>
      <c r="F473" s="2" t="s">
        <v>111</v>
      </c>
      <c r="G473" s="2" t="s">
        <v>2076</v>
      </c>
      <c r="H473" s="2" t="s">
        <v>112</v>
      </c>
      <c r="I473" s="2" t="s">
        <v>353</v>
      </c>
      <c r="J473" s="2"/>
      <c r="K473" s="2" t="s">
        <v>2077</v>
      </c>
      <c r="L473" s="2" t="s">
        <v>354</v>
      </c>
      <c r="M473" s="2"/>
      <c r="N473" s="2" t="s">
        <v>355</v>
      </c>
      <c r="O473" s="2"/>
      <c r="P473" s="2"/>
      <c r="Q473" s="2"/>
      <c r="R473" s="2"/>
      <c r="S473" s="2"/>
      <c r="T473" s="2" t="s">
        <v>2041</v>
      </c>
    </row>
    <row r="474" spans="1:20" ht="45" hidden="1" x14ac:dyDescent="0.25">
      <c r="A474" t="str">
        <f>INDEX('Orig (V1_BCK)'!$C:$C,MATCH($B474,'Orig (V1_BCK)'!$C:$C,0),1)</f>
        <v>R4251279-M2478472-</v>
      </c>
      <c r="B474" s="3" t="str">
        <f t="shared" si="7"/>
        <v>R4251279-M2478472-</v>
      </c>
      <c r="C474" s="2" t="s">
        <v>108</v>
      </c>
      <c r="D474" s="2" t="s">
        <v>109</v>
      </c>
      <c r="E474" s="2" t="s">
        <v>110</v>
      </c>
      <c r="F474" s="2" t="s">
        <v>111</v>
      </c>
      <c r="G474" s="2" t="s">
        <v>2076</v>
      </c>
      <c r="H474" s="2" t="s">
        <v>112</v>
      </c>
      <c r="I474" s="2" t="s">
        <v>149</v>
      </c>
      <c r="J474" s="2"/>
      <c r="K474" s="2" t="s">
        <v>2077</v>
      </c>
      <c r="L474" s="2" t="s">
        <v>150</v>
      </c>
      <c r="M474" s="2"/>
      <c r="N474" s="2" t="s">
        <v>151</v>
      </c>
      <c r="O474" s="2"/>
      <c r="P474" s="2"/>
      <c r="Q474" s="2"/>
      <c r="R474" s="2"/>
      <c r="S474" s="2"/>
      <c r="T474" s="2" t="s">
        <v>2041</v>
      </c>
    </row>
    <row r="475" spans="1:20" ht="45" hidden="1" x14ac:dyDescent="0.25">
      <c r="A475" t="str">
        <f>INDEX('Orig (V1_BCK)'!$C:$C,MATCH($B475,'Orig (V1_BCK)'!$C:$C,0),1)</f>
        <v>R4251279-M3004909-</v>
      </c>
      <c r="B475" s="3" t="str">
        <f t="shared" si="7"/>
        <v>R4251279-M3004909-</v>
      </c>
      <c r="C475" s="2" t="s">
        <v>108</v>
      </c>
      <c r="D475" s="2" t="s">
        <v>109</v>
      </c>
      <c r="E475" s="2" t="s">
        <v>110</v>
      </c>
      <c r="F475" s="2" t="s">
        <v>111</v>
      </c>
      <c r="G475" s="2" t="s">
        <v>2076</v>
      </c>
      <c r="H475" s="2" t="s">
        <v>112</v>
      </c>
      <c r="I475" s="2" t="s">
        <v>317</v>
      </c>
      <c r="J475" s="2"/>
      <c r="K475" s="2" t="s">
        <v>2077</v>
      </c>
      <c r="L475" s="2" t="s">
        <v>318</v>
      </c>
      <c r="M475" s="2"/>
      <c r="N475" s="2" t="s">
        <v>319</v>
      </c>
      <c r="O475" s="2"/>
      <c r="P475" s="2"/>
      <c r="Q475" s="2"/>
      <c r="R475" s="2"/>
      <c r="S475" s="2"/>
      <c r="T475" s="2" t="s">
        <v>2041</v>
      </c>
    </row>
    <row r="476" spans="1:20" ht="45" hidden="1" x14ac:dyDescent="0.25">
      <c r="A476" t="str">
        <f>INDEX('Orig (V1_BCK)'!$C:$C,MATCH($B476,'Orig (V1_BCK)'!$C:$C,0),1)</f>
        <v>R4251279-M4552646-</v>
      </c>
      <c r="B476" s="3" t="str">
        <f t="shared" si="7"/>
        <v>R4251279-M4552646-</v>
      </c>
      <c r="C476" s="2" t="s">
        <v>108</v>
      </c>
      <c r="D476" s="2" t="s">
        <v>109</v>
      </c>
      <c r="E476" s="2" t="s">
        <v>110</v>
      </c>
      <c r="F476" s="2" t="s">
        <v>111</v>
      </c>
      <c r="G476" s="2" t="s">
        <v>2076</v>
      </c>
      <c r="H476" s="2" t="s">
        <v>112</v>
      </c>
      <c r="I476" s="2" t="s">
        <v>365</v>
      </c>
      <c r="J476" s="2"/>
      <c r="K476" s="2" t="s">
        <v>2077</v>
      </c>
      <c r="L476" s="2" t="s">
        <v>366</v>
      </c>
      <c r="M476" s="2"/>
      <c r="N476" s="2" t="s">
        <v>367</v>
      </c>
      <c r="O476" s="2"/>
      <c r="P476" s="2"/>
      <c r="Q476" s="2"/>
      <c r="R476" s="2"/>
      <c r="S476" s="2"/>
      <c r="T476" s="2" t="s">
        <v>2041</v>
      </c>
    </row>
    <row r="477" spans="1:20" ht="45" hidden="1" x14ac:dyDescent="0.25">
      <c r="A477" t="str">
        <f>INDEX('Orig (V1_BCK)'!$C:$C,MATCH($B477,'Orig (V1_BCK)'!$C:$C,0),1)</f>
        <v>R4251279-M4832835-</v>
      </c>
      <c r="B477" s="3" t="str">
        <f t="shared" si="7"/>
        <v>R4251279-M4832835-</v>
      </c>
      <c r="C477" s="2" t="s">
        <v>108</v>
      </c>
      <c r="D477" s="2" t="s">
        <v>109</v>
      </c>
      <c r="E477" s="2" t="s">
        <v>110</v>
      </c>
      <c r="F477" s="2" t="s">
        <v>111</v>
      </c>
      <c r="G477" s="2" t="s">
        <v>2076</v>
      </c>
      <c r="H477" s="2" t="s">
        <v>112</v>
      </c>
      <c r="I477" s="2" t="s">
        <v>228</v>
      </c>
      <c r="J477" s="2"/>
      <c r="K477" s="2" t="s">
        <v>2077</v>
      </c>
      <c r="L477" s="2" t="s">
        <v>229</v>
      </c>
      <c r="M477" s="2"/>
      <c r="N477" s="2" t="s">
        <v>128</v>
      </c>
      <c r="O477" s="2"/>
      <c r="P477" s="2"/>
      <c r="Q477" s="2"/>
      <c r="R477" s="2"/>
      <c r="S477" s="2"/>
      <c r="T477" s="2" t="s">
        <v>2041</v>
      </c>
    </row>
    <row r="478" spans="1:20" ht="45" hidden="1" x14ac:dyDescent="0.25">
      <c r="A478" t="str">
        <f>INDEX('Orig (V1_BCK)'!$C:$C,MATCH($B478,'Orig (V1_BCK)'!$C:$C,0),1)</f>
        <v>R4251279-M5348426-</v>
      </c>
      <c r="B478" s="3" t="str">
        <f t="shared" si="7"/>
        <v>R4251279-M5348426-</v>
      </c>
      <c r="C478" s="2" t="s">
        <v>108</v>
      </c>
      <c r="D478" s="2" t="s">
        <v>109</v>
      </c>
      <c r="E478" s="2" t="s">
        <v>110</v>
      </c>
      <c r="F478" s="2" t="s">
        <v>111</v>
      </c>
      <c r="G478" s="2" t="s">
        <v>2076</v>
      </c>
      <c r="H478" s="2" t="s">
        <v>112</v>
      </c>
      <c r="I478" s="2" t="s">
        <v>152</v>
      </c>
      <c r="J478" s="2"/>
      <c r="K478" s="2" t="s">
        <v>2077</v>
      </c>
      <c r="L478" s="2" t="s">
        <v>153</v>
      </c>
      <c r="M478" s="2"/>
      <c r="N478" s="2" t="s">
        <v>154</v>
      </c>
      <c r="O478" s="2"/>
      <c r="P478" s="2"/>
      <c r="Q478" s="2"/>
      <c r="R478" s="2"/>
      <c r="S478" s="2"/>
      <c r="T478" s="2" t="s">
        <v>2041</v>
      </c>
    </row>
    <row r="479" spans="1:20" ht="45" hidden="1" x14ac:dyDescent="0.25">
      <c r="A479" t="str">
        <f>INDEX('Orig (V1_BCK)'!$C:$C,MATCH($B479,'Orig (V1_BCK)'!$C:$C,0),1)</f>
        <v>R4251279-M5626688-</v>
      </c>
      <c r="B479" s="3" t="str">
        <f t="shared" si="7"/>
        <v>R4251279-M5626688-</v>
      </c>
      <c r="C479" s="2" t="s">
        <v>108</v>
      </c>
      <c r="D479" s="2" t="s">
        <v>109</v>
      </c>
      <c r="E479" s="2" t="s">
        <v>110</v>
      </c>
      <c r="F479" s="2" t="s">
        <v>111</v>
      </c>
      <c r="G479" s="2" t="s">
        <v>2076</v>
      </c>
      <c r="H479" s="2" t="s">
        <v>112</v>
      </c>
      <c r="I479" s="2" t="s">
        <v>332</v>
      </c>
      <c r="J479" s="2"/>
      <c r="K479" s="2" t="s">
        <v>2077</v>
      </c>
      <c r="L479" s="2" t="s">
        <v>333</v>
      </c>
      <c r="M479" s="2"/>
      <c r="N479" s="2" t="s">
        <v>334</v>
      </c>
      <c r="O479" s="2"/>
      <c r="P479" s="2"/>
      <c r="Q479" s="2"/>
      <c r="R479" s="2"/>
      <c r="S479" s="2"/>
      <c r="T479" s="2" t="s">
        <v>2041</v>
      </c>
    </row>
    <row r="480" spans="1:20" ht="45" hidden="1" x14ac:dyDescent="0.25">
      <c r="A480" t="str">
        <f>INDEX('Orig (V1_BCK)'!$C:$C,MATCH($B480,'Orig (V1_BCK)'!$C:$C,0),1)</f>
        <v>R4251279-M6004094-</v>
      </c>
      <c r="B480" s="3" t="str">
        <f t="shared" si="7"/>
        <v>R4251279-M6004094-</v>
      </c>
      <c r="C480" s="2" t="s">
        <v>108</v>
      </c>
      <c r="D480" s="2" t="s">
        <v>109</v>
      </c>
      <c r="E480" s="2" t="s">
        <v>110</v>
      </c>
      <c r="F480" s="2" t="s">
        <v>111</v>
      </c>
      <c r="G480" s="2" t="s">
        <v>2076</v>
      </c>
      <c r="H480" s="2" t="s">
        <v>112</v>
      </c>
      <c r="I480" s="2" t="s">
        <v>279</v>
      </c>
      <c r="J480" s="2"/>
      <c r="K480" s="2" t="s">
        <v>2077</v>
      </c>
      <c r="L480" s="2" t="s">
        <v>280</v>
      </c>
      <c r="M480" s="2"/>
      <c r="N480" s="2" t="s">
        <v>281</v>
      </c>
      <c r="O480" s="2"/>
      <c r="P480" s="2"/>
      <c r="Q480" s="2"/>
      <c r="R480" s="2"/>
      <c r="S480" s="2"/>
      <c r="T480" s="2" t="s">
        <v>2041</v>
      </c>
    </row>
    <row r="481" spans="1:20" ht="45" hidden="1" x14ac:dyDescent="0.25">
      <c r="A481" t="str">
        <f>INDEX('Orig (V1_BCK)'!$C:$C,MATCH($B481,'Orig (V1_BCK)'!$C:$C,0),1)</f>
        <v>R4251279-M6288357-</v>
      </c>
      <c r="B481" s="3" t="str">
        <f t="shared" si="7"/>
        <v>R4251279-M6288357-</v>
      </c>
      <c r="C481" s="2" t="s">
        <v>108</v>
      </c>
      <c r="D481" s="2" t="s">
        <v>109</v>
      </c>
      <c r="E481" s="2" t="s">
        <v>110</v>
      </c>
      <c r="F481" s="2" t="s">
        <v>111</v>
      </c>
      <c r="G481" s="2" t="s">
        <v>2076</v>
      </c>
      <c r="H481" s="2" t="s">
        <v>112</v>
      </c>
      <c r="I481" s="2" t="s">
        <v>312</v>
      </c>
      <c r="J481" s="2"/>
      <c r="K481" s="2" t="s">
        <v>2077</v>
      </c>
      <c r="L481" s="2" t="s">
        <v>313</v>
      </c>
      <c r="M481" s="2"/>
      <c r="N481" s="2" t="s">
        <v>314</v>
      </c>
      <c r="O481" s="2"/>
      <c r="P481" s="2"/>
      <c r="Q481" s="2"/>
      <c r="R481" s="2"/>
      <c r="S481" s="2"/>
      <c r="T481" s="2" t="s">
        <v>2041</v>
      </c>
    </row>
    <row r="482" spans="1:20" ht="45" hidden="1" x14ac:dyDescent="0.25">
      <c r="A482" t="str">
        <f>INDEX('Orig (V1_BCK)'!$C:$C,MATCH($B482,'Orig (V1_BCK)'!$C:$C,0),1)</f>
        <v>R4251279-M6316752-</v>
      </c>
      <c r="B482" s="3" t="str">
        <f t="shared" si="7"/>
        <v>R4251279-M6316752-</v>
      </c>
      <c r="C482" s="2" t="s">
        <v>108</v>
      </c>
      <c r="D482" s="2" t="s">
        <v>109</v>
      </c>
      <c r="E482" s="2" t="s">
        <v>110</v>
      </c>
      <c r="F482" s="2" t="s">
        <v>111</v>
      </c>
      <c r="G482" s="2" t="s">
        <v>2076</v>
      </c>
      <c r="H482" s="2" t="s">
        <v>112</v>
      </c>
      <c r="I482" s="2" t="s">
        <v>340</v>
      </c>
      <c r="J482" s="2"/>
      <c r="K482" s="2" t="s">
        <v>2077</v>
      </c>
      <c r="L482" s="2" t="s">
        <v>280</v>
      </c>
      <c r="M482" s="2"/>
      <c r="N482" s="2" t="s">
        <v>341</v>
      </c>
      <c r="O482" s="2"/>
      <c r="P482" s="2"/>
      <c r="Q482" s="2"/>
      <c r="R482" s="2"/>
      <c r="S482" s="2"/>
      <c r="T482" s="2" t="s">
        <v>2041</v>
      </c>
    </row>
    <row r="483" spans="1:20" ht="45" hidden="1" x14ac:dyDescent="0.25">
      <c r="A483" t="str">
        <f>INDEX('Orig (V1_BCK)'!$C:$C,MATCH($B483,'Orig (V1_BCK)'!$C:$C,0),1)</f>
        <v>R4251279-M6344770-</v>
      </c>
      <c r="B483" s="3" t="str">
        <f t="shared" si="7"/>
        <v>R4251279-M6344770-</v>
      </c>
      <c r="C483" s="2" t="s">
        <v>108</v>
      </c>
      <c r="D483" s="2" t="s">
        <v>109</v>
      </c>
      <c r="E483" s="2" t="s">
        <v>110</v>
      </c>
      <c r="F483" s="2" t="s">
        <v>111</v>
      </c>
      <c r="G483" s="2" t="s">
        <v>2076</v>
      </c>
      <c r="H483" s="2" t="s">
        <v>112</v>
      </c>
      <c r="I483" s="2" t="s">
        <v>335</v>
      </c>
      <c r="J483" s="2"/>
      <c r="K483" s="2" t="s">
        <v>2077</v>
      </c>
      <c r="L483" s="2" t="s">
        <v>336</v>
      </c>
      <c r="M483" s="2"/>
      <c r="N483" s="2" t="s">
        <v>337</v>
      </c>
      <c r="O483" s="2"/>
      <c r="P483" s="2"/>
      <c r="Q483" s="2"/>
      <c r="R483" s="2"/>
      <c r="S483" s="2"/>
      <c r="T483" s="2" t="s">
        <v>2041</v>
      </c>
    </row>
    <row r="484" spans="1:20" ht="45" hidden="1" x14ac:dyDescent="0.25">
      <c r="A484" t="str">
        <f>INDEX('Orig (V1_BCK)'!$C:$C,MATCH($B484,'Orig (V1_BCK)'!$C:$C,0),1)</f>
        <v>R4251279-M6644909-</v>
      </c>
      <c r="B484" s="3" t="str">
        <f t="shared" si="7"/>
        <v>R4251279-M6644909-</v>
      </c>
      <c r="C484" s="2" t="s">
        <v>108</v>
      </c>
      <c r="D484" s="2" t="s">
        <v>109</v>
      </c>
      <c r="E484" s="2" t="s">
        <v>110</v>
      </c>
      <c r="F484" s="2" t="s">
        <v>111</v>
      </c>
      <c r="G484" s="2" t="s">
        <v>2076</v>
      </c>
      <c r="H484" s="2" t="s">
        <v>112</v>
      </c>
      <c r="I484" s="2" t="s">
        <v>282</v>
      </c>
      <c r="J484" s="2"/>
      <c r="K484" s="2" t="s">
        <v>2077</v>
      </c>
      <c r="L484" s="2" t="s">
        <v>283</v>
      </c>
      <c r="M484" s="2"/>
      <c r="N484" s="2" t="s">
        <v>284</v>
      </c>
      <c r="O484" s="2"/>
      <c r="P484" s="2"/>
      <c r="Q484" s="2"/>
      <c r="R484" s="2"/>
      <c r="S484" s="2"/>
      <c r="T484" s="2" t="s">
        <v>2041</v>
      </c>
    </row>
    <row r="485" spans="1:20" ht="45" hidden="1" x14ac:dyDescent="0.25">
      <c r="A485" t="str">
        <f>INDEX('Orig (V1_BCK)'!$C:$C,MATCH($B485,'Orig (V1_BCK)'!$C:$C,0),1)</f>
        <v>R4251279-M6894777-</v>
      </c>
      <c r="B485" s="3" t="str">
        <f t="shared" si="7"/>
        <v>R4251279-M6894777-</v>
      </c>
      <c r="C485" s="2" t="s">
        <v>108</v>
      </c>
      <c r="D485" s="2" t="s">
        <v>109</v>
      </c>
      <c r="E485" s="2" t="s">
        <v>110</v>
      </c>
      <c r="F485" s="2" t="s">
        <v>111</v>
      </c>
      <c r="G485" s="2" t="s">
        <v>2076</v>
      </c>
      <c r="H485" s="2" t="s">
        <v>112</v>
      </c>
      <c r="I485" s="2" t="s">
        <v>184</v>
      </c>
      <c r="J485" s="2"/>
      <c r="K485" s="2" t="s">
        <v>2077</v>
      </c>
      <c r="L485" s="2" t="s">
        <v>185</v>
      </c>
      <c r="M485" s="2"/>
      <c r="N485" s="2" t="s">
        <v>186</v>
      </c>
      <c r="O485" s="2"/>
      <c r="P485" s="2"/>
      <c r="Q485" s="2"/>
      <c r="R485" s="2"/>
      <c r="S485" s="2"/>
      <c r="T485" s="2" t="s">
        <v>2041</v>
      </c>
    </row>
    <row r="486" spans="1:20" ht="45" hidden="1" x14ac:dyDescent="0.25">
      <c r="A486" t="str">
        <f>INDEX('Orig (V1_BCK)'!$C:$C,MATCH($B486,'Orig (V1_BCK)'!$C:$C,0),1)</f>
        <v>R4251279-M8014566-</v>
      </c>
      <c r="B486" s="3" t="str">
        <f t="shared" si="7"/>
        <v>R4251279-M8014566-</v>
      </c>
      <c r="C486" s="2" t="s">
        <v>108</v>
      </c>
      <c r="D486" s="2" t="s">
        <v>109</v>
      </c>
      <c r="E486" s="2" t="s">
        <v>110</v>
      </c>
      <c r="F486" s="2" t="s">
        <v>111</v>
      </c>
      <c r="G486" s="2" t="s">
        <v>2076</v>
      </c>
      <c r="H486" s="2" t="s">
        <v>112</v>
      </c>
      <c r="I486" s="2" t="s">
        <v>137</v>
      </c>
      <c r="J486" s="2"/>
      <c r="K486" s="2" t="s">
        <v>2077</v>
      </c>
      <c r="L486" s="2" t="s">
        <v>138</v>
      </c>
      <c r="M486" s="2"/>
      <c r="N486" s="2" t="s">
        <v>139</v>
      </c>
      <c r="O486" s="2"/>
      <c r="P486" s="2"/>
      <c r="Q486" s="2"/>
      <c r="R486" s="2"/>
      <c r="S486" s="2"/>
      <c r="T486" s="2" t="s">
        <v>2041</v>
      </c>
    </row>
    <row r="487" spans="1:20" ht="45" hidden="1" x14ac:dyDescent="0.25">
      <c r="A487" t="str">
        <f>INDEX('Orig (V1_BCK)'!$C:$C,MATCH($B487,'Orig (V1_BCK)'!$C:$C,0),1)</f>
        <v>R4251279-M8170346-</v>
      </c>
      <c r="B487" s="3" t="str">
        <f t="shared" si="7"/>
        <v>R4251279-M8170346-</v>
      </c>
      <c r="C487" s="2" t="s">
        <v>108</v>
      </c>
      <c r="D487" s="2" t="s">
        <v>109</v>
      </c>
      <c r="E487" s="2" t="s">
        <v>110</v>
      </c>
      <c r="F487" s="2" t="s">
        <v>111</v>
      </c>
      <c r="G487" s="2" t="s">
        <v>2076</v>
      </c>
      <c r="H487" s="2" t="s">
        <v>112</v>
      </c>
      <c r="I487" s="2" t="s">
        <v>396</v>
      </c>
      <c r="J487" s="2"/>
      <c r="K487" s="2" t="s">
        <v>2077</v>
      </c>
      <c r="L487" s="2" t="s">
        <v>397</v>
      </c>
      <c r="M487" s="2"/>
      <c r="N487" s="2" t="s">
        <v>398</v>
      </c>
      <c r="O487" s="2"/>
      <c r="P487" s="2"/>
      <c r="Q487" s="2"/>
      <c r="R487" s="2"/>
      <c r="S487" s="2"/>
      <c r="T487" s="2" t="s">
        <v>2041</v>
      </c>
    </row>
    <row r="488" spans="1:20" ht="45" hidden="1" x14ac:dyDescent="0.25">
      <c r="A488" t="str">
        <f>INDEX('Orig (V1_BCK)'!$C:$C,MATCH($B488,'Orig (V1_BCK)'!$C:$C,0),1)</f>
        <v>R4251279-M8491500-</v>
      </c>
      <c r="B488" s="3" t="str">
        <f t="shared" si="7"/>
        <v>R4251279-M8491500-</v>
      </c>
      <c r="C488" s="2" t="s">
        <v>108</v>
      </c>
      <c r="D488" s="2" t="s">
        <v>109</v>
      </c>
      <c r="E488" s="2" t="s">
        <v>110</v>
      </c>
      <c r="F488" s="2" t="s">
        <v>111</v>
      </c>
      <c r="G488" s="2" t="s">
        <v>2076</v>
      </c>
      <c r="H488" s="2" t="s">
        <v>112</v>
      </c>
      <c r="I488" s="2" t="s">
        <v>140</v>
      </c>
      <c r="J488" s="2"/>
      <c r="K488" s="2" t="s">
        <v>2077</v>
      </c>
      <c r="L488" s="2" t="s">
        <v>141</v>
      </c>
      <c r="M488" s="2"/>
      <c r="N488" s="2" t="s">
        <v>142</v>
      </c>
      <c r="O488" s="2"/>
      <c r="P488" s="2"/>
      <c r="Q488" s="2"/>
      <c r="R488" s="2"/>
      <c r="S488" s="2"/>
      <c r="T488" s="2" t="s">
        <v>2041</v>
      </c>
    </row>
    <row r="489" spans="1:20" ht="45" hidden="1" x14ac:dyDescent="0.25">
      <c r="A489" t="str">
        <f>INDEX('Orig (V1_BCK)'!$C:$C,MATCH($B489,'Orig (V1_BCK)'!$C:$C,0),1)</f>
        <v>R4251279-M9205867-</v>
      </c>
      <c r="B489" s="3" t="str">
        <f t="shared" si="7"/>
        <v>R4251279-M9205867-</v>
      </c>
      <c r="C489" s="2" t="s">
        <v>108</v>
      </c>
      <c r="D489" s="2" t="s">
        <v>109</v>
      </c>
      <c r="E489" s="2" t="s">
        <v>110</v>
      </c>
      <c r="F489" s="2" t="s">
        <v>111</v>
      </c>
      <c r="G489" s="2" t="s">
        <v>2076</v>
      </c>
      <c r="H489" s="2" t="s">
        <v>112</v>
      </c>
      <c r="I489" s="2" t="s">
        <v>190</v>
      </c>
      <c r="J489" s="2"/>
      <c r="K489" s="2" t="s">
        <v>2077</v>
      </c>
      <c r="L489" s="2" t="s">
        <v>191</v>
      </c>
      <c r="M489" s="2"/>
      <c r="N489" s="2" t="s">
        <v>192</v>
      </c>
      <c r="O489" s="2"/>
      <c r="P489" s="2"/>
      <c r="Q489" s="2"/>
      <c r="R489" s="2"/>
      <c r="S489" s="2"/>
      <c r="T489" s="2" t="s">
        <v>2041</v>
      </c>
    </row>
    <row r="490" spans="1:20" ht="45" hidden="1" x14ac:dyDescent="0.25">
      <c r="A490" t="str">
        <f>INDEX('Orig (V1_BCK)'!$C:$C,MATCH($B490,'Orig (V1_BCK)'!$C:$C,0),1)</f>
        <v>R4251279-M9411528-</v>
      </c>
      <c r="B490" s="3" t="str">
        <f t="shared" si="7"/>
        <v>R4251279-M9411528-</v>
      </c>
      <c r="C490" s="2" t="s">
        <v>108</v>
      </c>
      <c r="D490" s="2" t="s">
        <v>109</v>
      </c>
      <c r="E490" s="2" t="s">
        <v>110</v>
      </c>
      <c r="F490" s="2" t="s">
        <v>111</v>
      </c>
      <c r="G490" s="2" t="s">
        <v>2076</v>
      </c>
      <c r="H490" s="2" t="s">
        <v>112</v>
      </c>
      <c r="I490" s="2" t="s">
        <v>399</v>
      </c>
      <c r="J490" s="2"/>
      <c r="K490" s="2" t="s">
        <v>2077</v>
      </c>
      <c r="L490" s="2" t="s">
        <v>313</v>
      </c>
      <c r="M490" s="2"/>
      <c r="N490" s="2" t="s">
        <v>400</v>
      </c>
      <c r="O490" s="2"/>
      <c r="P490" s="2"/>
      <c r="Q490" s="2"/>
      <c r="R490" s="2"/>
      <c r="S490" s="2"/>
      <c r="T490" s="2" t="s">
        <v>2041</v>
      </c>
    </row>
    <row r="491" spans="1:20" ht="45" hidden="1" x14ac:dyDescent="0.25">
      <c r="A491" t="str">
        <f>INDEX('Orig (V1_BCK)'!$C:$C,MATCH($B491,'Orig (V1_BCK)'!$C:$C,0),1)</f>
        <v>R4251279-M9949088-</v>
      </c>
      <c r="B491" s="3" t="str">
        <f t="shared" si="7"/>
        <v>R4251279-M9949088-</v>
      </c>
      <c r="C491" s="2" t="s">
        <v>108</v>
      </c>
      <c r="D491" s="2" t="s">
        <v>109</v>
      </c>
      <c r="E491" s="2" t="s">
        <v>110</v>
      </c>
      <c r="F491" s="2" t="s">
        <v>111</v>
      </c>
      <c r="G491" s="2" t="s">
        <v>2076</v>
      </c>
      <c r="H491" s="2" t="s">
        <v>112</v>
      </c>
      <c r="I491" s="2" t="s">
        <v>323</v>
      </c>
      <c r="J491" s="2"/>
      <c r="K491" s="2" t="s">
        <v>2077</v>
      </c>
      <c r="L491" s="2" t="s">
        <v>324</v>
      </c>
      <c r="M491" s="2"/>
      <c r="N491" s="2" t="s">
        <v>325</v>
      </c>
      <c r="O491" s="2"/>
      <c r="P491" s="2"/>
      <c r="Q491" s="2"/>
      <c r="R491" s="2"/>
      <c r="S491" s="2"/>
      <c r="T491" s="2" t="s">
        <v>2041</v>
      </c>
    </row>
    <row r="492" spans="1:20" ht="45" hidden="1" x14ac:dyDescent="0.25">
      <c r="A492" t="str">
        <f>INDEX('Orig (V1_BCK)'!$C:$C,MATCH($B492,'Orig (V1_BCK)'!$C:$C,0),1)</f>
        <v>R4251279-N4158968-</v>
      </c>
      <c r="B492" s="3" t="str">
        <f t="shared" si="7"/>
        <v>R4251279-N4158968-</v>
      </c>
      <c r="C492" s="2" t="s">
        <v>108</v>
      </c>
      <c r="D492" s="2" t="s">
        <v>109</v>
      </c>
      <c r="E492" s="2" t="s">
        <v>110</v>
      </c>
      <c r="F492" s="2" t="s">
        <v>111</v>
      </c>
      <c r="G492" s="2" t="s">
        <v>2076</v>
      </c>
      <c r="H492" s="2" t="s">
        <v>112</v>
      </c>
      <c r="I492" s="2" t="s">
        <v>223</v>
      </c>
      <c r="J492" s="2"/>
      <c r="K492" s="2" t="s">
        <v>2077</v>
      </c>
      <c r="L492" s="2" t="s">
        <v>224</v>
      </c>
      <c r="M492" s="2"/>
      <c r="N492" s="2" t="s">
        <v>16</v>
      </c>
      <c r="O492" s="2"/>
      <c r="P492" s="2"/>
      <c r="Q492" s="2"/>
      <c r="R492" s="2"/>
      <c r="S492" s="2"/>
      <c r="T492" s="2" t="s">
        <v>2041</v>
      </c>
    </row>
    <row r="493" spans="1:20" ht="45" hidden="1" x14ac:dyDescent="0.25">
      <c r="A493" t="str">
        <f>INDEX('Orig (V1_BCK)'!$C:$C,MATCH($B493,'Orig (V1_BCK)'!$C:$C,0),1)</f>
        <v>R4251279-O0670575-</v>
      </c>
      <c r="B493" s="3" t="str">
        <f t="shared" si="7"/>
        <v>R4251279-O0670575-</v>
      </c>
      <c r="C493" s="2" t="s">
        <v>108</v>
      </c>
      <c r="D493" s="2" t="s">
        <v>109</v>
      </c>
      <c r="E493" s="2" t="s">
        <v>110</v>
      </c>
      <c r="F493" s="2" t="s">
        <v>111</v>
      </c>
      <c r="G493" s="2" t="s">
        <v>2076</v>
      </c>
      <c r="H493" s="2" t="s">
        <v>112</v>
      </c>
      <c r="I493" s="2" t="s">
        <v>373</v>
      </c>
      <c r="J493" s="2"/>
      <c r="K493" s="2" t="s">
        <v>2077</v>
      </c>
      <c r="L493" s="2" t="s">
        <v>374</v>
      </c>
      <c r="M493" s="2"/>
      <c r="N493" s="2" t="s">
        <v>375</v>
      </c>
      <c r="O493" s="2"/>
      <c r="P493" s="2"/>
      <c r="Q493" s="2"/>
      <c r="R493" s="2"/>
      <c r="S493" s="2"/>
      <c r="T493" s="2" t="s">
        <v>2041</v>
      </c>
    </row>
    <row r="494" spans="1:20" ht="45" hidden="1" x14ac:dyDescent="0.25">
      <c r="A494" t="str">
        <f>INDEX('Orig (V1_BCK)'!$C:$C,MATCH($B494,'Orig (V1_BCK)'!$C:$C,0),1)</f>
        <v>R4251279-O2855831-</v>
      </c>
      <c r="B494" s="3" t="str">
        <f t="shared" si="7"/>
        <v>R4251279-O2855831-</v>
      </c>
      <c r="C494" s="2" t="s">
        <v>108</v>
      </c>
      <c r="D494" s="2" t="s">
        <v>109</v>
      </c>
      <c r="E494" s="2" t="s">
        <v>110</v>
      </c>
      <c r="F494" s="2" t="s">
        <v>111</v>
      </c>
      <c r="G494" s="2" t="s">
        <v>2076</v>
      </c>
      <c r="H494" s="2" t="s">
        <v>112</v>
      </c>
      <c r="I494" s="2" t="s">
        <v>356</v>
      </c>
      <c r="J494" s="2"/>
      <c r="K494" s="2" t="s">
        <v>2077</v>
      </c>
      <c r="L494" s="2" t="s">
        <v>357</v>
      </c>
      <c r="M494" s="2"/>
      <c r="N494" s="2" t="s">
        <v>358</v>
      </c>
      <c r="O494" s="2"/>
      <c r="P494" s="2"/>
      <c r="Q494" s="2"/>
      <c r="R494" s="2"/>
      <c r="S494" s="2"/>
      <c r="T494" s="2" t="s">
        <v>2041</v>
      </c>
    </row>
    <row r="495" spans="1:20" ht="45" hidden="1" x14ac:dyDescent="0.25">
      <c r="A495" t="str">
        <f>INDEX('Orig (V1_BCK)'!$C:$C,MATCH($B495,'Orig (V1_BCK)'!$C:$C,0),1)</f>
        <v>R4251279-P1896415-</v>
      </c>
      <c r="B495" s="3" t="str">
        <f t="shared" si="7"/>
        <v>R4251279-P1896415-</v>
      </c>
      <c r="C495" s="2" t="s">
        <v>108</v>
      </c>
      <c r="D495" s="2" t="s">
        <v>109</v>
      </c>
      <c r="E495" s="2" t="s">
        <v>110</v>
      </c>
      <c r="F495" s="2" t="s">
        <v>111</v>
      </c>
      <c r="G495" s="2" t="s">
        <v>2076</v>
      </c>
      <c r="H495" s="2" t="s">
        <v>112</v>
      </c>
      <c r="I495" s="2" t="s">
        <v>214</v>
      </c>
      <c r="J495" s="2"/>
      <c r="K495" s="2" t="s">
        <v>2077</v>
      </c>
      <c r="L495" s="2" t="s">
        <v>215</v>
      </c>
      <c r="M495" s="2"/>
      <c r="N495" s="2" t="s">
        <v>192</v>
      </c>
      <c r="O495" s="2"/>
      <c r="P495" s="2"/>
      <c r="Q495" s="2"/>
      <c r="R495" s="2"/>
      <c r="S495" s="2"/>
      <c r="T495" s="2" t="s">
        <v>2041</v>
      </c>
    </row>
    <row r="496" spans="1:20" ht="45" hidden="1" x14ac:dyDescent="0.25">
      <c r="A496" t="str">
        <f>INDEX('Orig (V1_BCK)'!$C:$C,MATCH($B496,'Orig (V1_BCK)'!$C:$C,0),1)</f>
        <v>R4251279-P3519097-</v>
      </c>
      <c r="B496" s="3" t="str">
        <f t="shared" si="7"/>
        <v>R4251279-P3519097-</v>
      </c>
      <c r="C496" s="2" t="s">
        <v>108</v>
      </c>
      <c r="D496" s="2" t="s">
        <v>109</v>
      </c>
      <c r="E496" s="2" t="s">
        <v>110</v>
      </c>
      <c r="F496" s="2" t="s">
        <v>111</v>
      </c>
      <c r="G496" s="2" t="s">
        <v>2076</v>
      </c>
      <c r="H496" s="2" t="s">
        <v>112</v>
      </c>
      <c r="I496" s="2" t="s">
        <v>221</v>
      </c>
      <c r="J496" s="2"/>
      <c r="K496" s="2" t="s">
        <v>2077</v>
      </c>
      <c r="L496" s="2" t="s">
        <v>58</v>
      </c>
      <c r="M496" s="2"/>
      <c r="N496" s="2" t="s">
        <v>222</v>
      </c>
      <c r="O496" s="2"/>
      <c r="P496" s="2"/>
      <c r="Q496" s="2"/>
      <c r="R496" s="2"/>
      <c r="S496" s="2"/>
      <c r="T496" s="2" t="s">
        <v>2041</v>
      </c>
    </row>
    <row r="497" spans="1:20" ht="45" hidden="1" x14ac:dyDescent="0.25">
      <c r="A497" t="str">
        <f>INDEX('Orig (V1_BCK)'!$C:$C,MATCH($B497,'Orig (V1_BCK)'!$C:$C,0),1)</f>
        <v>R4251279-P3557786-</v>
      </c>
      <c r="B497" s="3" t="str">
        <f t="shared" si="7"/>
        <v>R4251279-P3557786-</v>
      </c>
      <c r="C497" s="2" t="s">
        <v>108</v>
      </c>
      <c r="D497" s="2" t="s">
        <v>109</v>
      </c>
      <c r="E497" s="2" t="s">
        <v>110</v>
      </c>
      <c r="F497" s="2" t="s">
        <v>111</v>
      </c>
      <c r="G497" s="2" t="s">
        <v>2076</v>
      </c>
      <c r="H497" s="2" t="s">
        <v>112</v>
      </c>
      <c r="I497" s="2" t="s">
        <v>236</v>
      </c>
      <c r="J497" s="2"/>
      <c r="K497" s="2" t="s">
        <v>2077</v>
      </c>
      <c r="L497" s="2" t="s">
        <v>58</v>
      </c>
      <c r="M497" s="2"/>
      <c r="N497" s="2" t="s">
        <v>237</v>
      </c>
      <c r="O497" s="2"/>
      <c r="P497" s="2"/>
      <c r="Q497" s="2"/>
      <c r="R497" s="2"/>
      <c r="S497" s="2"/>
      <c r="T497" s="2" t="s">
        <v>2041</v>
      </c>
    </row>
    <row r="498" spans="1:20" ht="45" hidden="1" x14ac:dyDescent="0.25">
      <c r="A498" t="str">
        <f>INDEX('Orig (V1_BCK)'!$C:$C,MATCH($B498,'Orig (V1_BCK)'!$C:$C,0),1)</f>
        <v>R4251279-P3941386-</v>
      </c>
      <c r="B498" s="3" t="str">
        <f t="shared" si="7"/>
        <v>R4251279-P3941386-</v>
      </c>
      <c r="C498" s="2" t="s">
        <v>108</v>
      </c>
      <c r="D498" s="2" t="s">
        <v>109</v>
      </c>
      <c r="E498" s="2" t="s">
        <v>110</v>
      </c>
      <c r="F498" s="2" t="s">
        <v>111</v>
      </c>
      <c r="G498" s="2" t="s">
        <v>2076</v>
      </c>
      <c r="H498" s="2" t="s">
        <v>112</v>
      </c>
      <c r="I498" s="2" t="s">
        <v>121</v>
      </c>
      <c r="J498" s="2"/>
      <c r="K498" s="2" t="s">
        <v>2077</v>
      </c>
      <c r="L498" s="2" t="s">
        <v>58</v>
      </c>
      <c r="M498" s="2"/>
      <c r="N498" s="2" t="s">
        <v>122</v>
      </c>
      <c r="O498" s="2"/>
      <c r="P498" s="2"/>
      <c r="Q498" s="2"/>
      <c r="R498" s="2"/>
      <c r="S498" s="2"/>
      <c r="T498" s="2" t="s">
        <v>2041</v>
      </c>
    </row>
    <row r="499" spans="1:20" ht="45" hidden="1" x14ac:dyDescent="0.25">
      <c r="A499" t="str">
        <f>INDEX('Orig (V1_BCK)'!$C:$C,MATCH($B499,'Orig (V1_BCK)'!$C:$C,0),1)</f>
        <v>R4251279-P4005378-</v>
      </c>
      <c r="B499" s="3" t="str">
        <f t="shared" si="7"/>
        <v>R4251279-P4005378-</v>
      </c>
      <c r="C499" s="2" t="s">
        <v>108</v>
      </c>
      <c r="D499" s="2" t="s">
        <v>109</v>
      </c>
      <c r="E499" s="2" t="s">
        <v>110</v>
      </c>
      <c r="F499" s="2" t="s">
        <v>111</v>
      </c>
      <c r="G499" s="2" t="s">
        <v>2076</v>
      </c>
      <c r="H499" s="2" t="s">
        <v>112</v>
      </c>
      <c r="I499" s="2" t="s">
        <v>244</v>
      </c>
      <c r="J499" s="2"/>
      <c r="K499" s="2" t="s">
        <v>2077</v>
      </c>
      <c r="L499" s="2" t="s">
        <v>58</v>
      </c>
      <c r="M499" s="2"/>
      <c r="N499" s="2" t="s">
        <v>133</v>
      </c>
      <c r="O499" s="2"/>
      <c r="P499" s="2"/>
      <c r="Q499" s="2"/>
      <c r="R499" s="2"/>
      <c r="S499" s="2"/>
      <c r="T499" s="2" t="s">
        <v>2041</v>
      </c>
    </row>
    <row r="500" spans="1:20" ht="45" hidden="1" x14ac:dyDescent="0.25">
      <c r="A500" t="str">
        <f>INDEX('Orig (V1_BCK)'!$C:$C,MATCH($B500,'Orig (V1_BCK)'!$C:$C,0),1)</f>
        <v>R4251279-P6305250-</v>
      </c>
      <c r="B500" s="3" t="str">
        <f t="shared" si="7"/>
        <v>R4251279-P6305250-</v>
      </c>
      <c r="C500" s="2" t="s">
        <v>108</v>
      </c>
      <c r="D500" s="2" t="s">
        <v>109</v>
      </c>
      <c r="E500" s="2" t="s">
        <v>110</v>
      </c>
      <c r="F500" s="2" t="s">
        <v>111</v>
      </c>
      <c r="G500" s="2" t="s">
        <v>2076</v>
      </c>
      <c r="H500" s="2" t="s">
        <v>112</v>
      </c>
      <c r="I500" s="2" t="s">
        <v>245</v>
      </c>
      <c r="J500" s="2"/>
      <c r="K500" s="2" t="s">
        <v>2077</v>
      </c>
      <c r="L500" s="2" t="s">
        <v>58</v>
      </c>
      <c r="M500" s="2"/>
      <c r="N500" s="2" t="s">
        <v>246</v>
      </c>
      <c r="O500" s="2"/>
      <c r="P500" s="2"/>
      <c r="Q500" s="2"/>
      <c r="R500" s="2"/>
      <c r="S500" s="2"/>
      <c r="T500" s="2" t="s">
        <v>2041</v>
      </c>
    </row>
    <row r="501" spans="1:20" ht="45" hidden="1" x14ac:dyDescent="0.25">
      <c r="A501" t="str">
        <f>INDEX('Orig (V1_BCK)'!$C:$C,MATCH($B501,'Orig (V1_BCK)'!$C:$C,0),1)</f>
        <v>R4251279-P8672352-</v>
      </c>
      <c r="B501" s="3" t="str">
        <f t="shared" si="7"/>
        <v>R4251279-P8672352-</v>
      </c>
      <c r="C501" s="2" t="s">
        <v>108</v>
      </c>
      <c r="D501" s="2" t="s">
        <v>109</v>
      </c>
      <c r="E501" s="2" t="s">
        <v>110</v>
      </c>
      <c r="F501" s="2" t="s">
        <v>111</v>
      </c>
      <c r="G501" s="2" t="s">
        <v>2076</v>
      </c>
      <c r="H501" s="2" t="s">
        <v>112</v>
      </c>
      <c r="I501" s="2" t="s">
        <v>212</v>
      </c>
      <c r="J501" s="2"/>
      <c r="K501" s="2" t="s">
        <v>2077</v>
      </c>
      <c r="L501" s="2" t="s">
        <v>58</v>
      </c>
      <c r="M501" s="2"/>
      <c r="N501" s="2" t="s">
        <v>213</v>
      </c>
      <c r="O501" s="2"/>
      <c r="P501" s="2"/>
      <c r="Q501" s="2"/>
      <c r="R501" s="2"/>
      <c r="S501" s="2"/>
      <c r="T501" s="2" t="s">
        <v>2041</v>
      </c>
    </row>
    <row r="502" spans="1:20" ht="45" hidden="1" x14ac:dyDescent="0.25">
      <c r="A502" t="str">
        <f>INDEX('Orig (V1_BCK)'!$C:$C,MATCH($B502,'Orig (V1_BCK)'!$C:$C,0),1)</f>
        <v>R4251279-R0094445-</v>
      </c>
      <c r="B502" s="3" t="str">
        <f t="shared" si="7"/>
        <v>R4251279-R0094445-</v>
      </c>
      <c r="C502" s="2" t="s">
        <v>108</v>
      </c>
      <c r="D502" s="2" t="s">
        <v>109</v>
      </c>
      <c r="E502" s="2" t="s">
        <v>110</v>
      </c>
      <c r="F502" s="2" t="s">
        <v>111</v>
      </c>
      <c r="G502" s="2" t="s">
        <v>2076</v>
      </c>
      <c r="H502" s="2" t="s">
        <v>112</v>
      </c>
      <c r="I502" s="2" t="s">
        <v>225</v>
      </c>
      <c r="J502" s="2"/>
      <c r="K502" s="2" t="s">
        <v>2077</v>
      </c>
      <c r="L502" s="2" t="s">
        <v>226</v>
      </c>
      <c r="M502" s="2"/>
      <c r="N502" s="2" t="s">
        <v>227</v>
      </c>
      <c r="O502" s="2"/>
      <c r="P502" s="2"/>
      <c r="Q502" s="2"/>
      <c r="R502" s="2"/>
      <c r="S502" s="2"/>
      <c r="T502" s="2" t="s">
        <v>2041</v>
      </c>
    </row>
    <row r="503" spans="1:20" ht="45" hidden="1" x14ac:dyDescent="0.25">
      <c r="A503" t="str">
        <f>INDEX('Orig (V1_BCK)'!$C:$C,MATCH($B503,'Orig (V1_BCK)'!$C:$C,0),1)</f>
        <v>R4251279-R0357636-</v>
      </c>
      <c r="B503" s="3" t="str">
        <f t="shared" si="7"/>
        <v>R4251279-R0357636-</v>
      </c>
      <c r="C503" s="2" t="s">
        <v>108</v>
      </c>
      <c r="D503" s="2" t="s">
        <v>109</v>
      </c>
      <c r="E503" s="2" t="s">
        <v>110</v>
      </c>
      <c r="F503" s="2" t="s">
        <v>111</v>
      </c>
      <c r="G503" s="2" t="s">
        <v>2076</v>
      </c>
      <c r="H503" s="2" t="s">
        <v>112</v>
      </c>
      <c r="I503" s="2" t="s">
        <v>187</v>
      </c>
      <c r="J503" s="2"/>
      <c r="K503" s="2" t="s">
        <v>2077</v>
      </c>
      <c r="L503" s="2" t="s">
        <v>188</v>
      </c>
      <c r="M503" s="2"/>
      <c r="N503" s="2" t="s">
        <v>189</v>
      </c>
      <c r="O503" s="2"/>
      <c r="P503" s="2"/>
      <c r="Q503" s="2"/>
      <c r="R503" s="2"/>
      <c r="S503" s="2"/>
      <c r="T503" s="2" t="s">
        <v>2041</v>
      </c>
    </row>
    <row r="504" spans="1:20" ht="45" hidden="1" x14ac:dyDescent="0.25">
      <c r="A504" t="str">
        <f>INDEX('Orig (V1_BCK)'!$C:$C,MATCH($B504,'Orig (V1_BCK)'!$C:$C,0),1)</f>
        <v>R4251279-R2670272-</v>
      </c>
      <c r="B504" s="3" t="str">
        <f t="shared" si="7"/>
        <v>R4251279-R2670272-</v>
      </c>
      <c r="C504" s="2" t="s">
        <v>108</v>
      </c>
      <c r="D504" s="2" t="s">
        <v>109</v>
      </c>
      <c r="E504" s="2" t="s">
        <v>110</v>
      </c>
      <c r="F504" s="2" t="s">
        <v>111</v>
      </c>
      <c r="G504" s="2" t="s">
        <v>2076</v>
      </c>
      <c r="H504" s="2" t="s">
        <v>112</v>
      </c>
      <c r="I504" s="2" t="s">
        <v>431</v>
      </c>
      <c r="J504" s="2"/>
      <c r="K504" s="2" t="s">
        <v>2077</v>
      </c>
      <c r="L504" s="2" t="s">
        <v>432</v>
      </c>
      <c r="M504" s="2"/>
      <c r="N504" s="2" t="s">
        <v>433</v>
      </c>
      <c r="O504" s="2"/>
      <c r="P504" s="2"/>
      <c r="Q504" s="2"/>
      <c r="R504" s="2"/>
      <c r="S504" s="2"/>
      <c r="T504" s="2" t="s">
        <v>2041</v>
      </c>
    </row>
    <row r="505" spans="1:20" ht="45" hidden="1" x14ac:dyDescent="0.25">
      <c r="A505" t="str">
        <f>INDEX('Orig (V1_BCK)'!$C:$C,MATCH($B505,'Orig (V1_BCK)'!$C:$C,0),1)</f>
        <v>R4251279-R2670272-</v>
      </c>
      <c r="B505" s="3" t="str">
        <f t="shared" si="7"/>
        <v>R4251279-R2670272-</v>
      </c>
      <c r="C505" s="2" t="s">
        <v>108</v>
      </c>
      <c r="D505" s="2" t="s">
        <v>109</v>
      </c>
      <c r="E505" s="2" t="s">
        <v>110</v>
      </c>
      <c r="F505" s="2" t="s">
        <v>111</v>
      </c>
      <c r="G505" s="2" t="s">
        <v>2076</v>
      </c>
      <c r="H505" s="2" t="s">
        <v>112</v>
      </c>
      <c r="I505" s="2" t="s">
        <v>431</v>
      </c>
      <c r="J505" s="2"/>
      <c r="K505" s="2" t="s">
        <v>2077</v>
      </c>
      <c r="L505" s="2" t="s">
        <v>432</v>
      </c>
      <c r="M505" s="2"/>
      <c r="N505" s="2" t="s">
        <v>433</v>
      </c>
      <c r="O505" s="2"/>
      <c r="P505" s="2"/>
      <c r="Q505" s="2"/>
      <c r="R505" s="2"/>
      <c r="S505" s="2"/>
      <c r="T505" s="2" t="s">
        <v>2041</v>
      </c>
    </row>
    <row r="506" spans="1:20" ht="45" hidden="1" x14ac:dyDescent="0.25">
      <c r="A506" t="str">
        <f>INDEX('Orig (V1_BCK)'!$C:$C,MATCH($B506,'Orig (V1_BCK)'!$C:$C,0),1)</f>
        <v>R4251279-R5557357-</v>
      </c>
      <c r="B506" s="3" t="str">
        <f t="shared" si="7"/>
        <v>R4251279-R5557357-</v>
      </c>
      <c r="C506" s="2" t="s">
        <v>108</v>
      </c>
      <c r="D506" s="2" t="s">
        <v>109</v>
      </c>
      <c r="E506" s="2" t="s">
        <v>110</v>
      </c>
      <c r="F506" s="2" t="s">
        <v>111</v>
      </c>
      <c r="G506" s="2" t="s">
        <v>2076</v>
      </c>
      <c r="H506" s="2" t="s">
        <v>112</v>
      </c>
      <c r="I506" s="2" t="s">
        <v>175</v>
      </c>
      <c r="J506" s="2"/>
      <c r="K506" s="2" t="s">
        <v>2077</v>
      </c>
      <c r="L506" s="2" t="s">
        <v>176</v>
      </c>
      <c r="M506" s="2"/>
      <c r="N506" s="2" t="s">
        <v>177</v>
      </c>
      <c r="O506" s="2"/>
      <c r="P506" s="2"/>
      <c r="Q506" s="2"/>
      <c r="R506" s="2"/>
      <c r="S506" s="2"/>
      <c r="T506" s="2" t="s">
        <v>2041</v>
      </c>
    </row>
    <row r="507" spans="1:20" ht="45" hidden="1" x14ac:dyDescent="0.25">
      <c r="A507" t="str">
        <f>INDEX('Orig (V1_BCK)'!$C:$C,MATCH($B507,'Orig (V1_BCK)'!$C:$C,0),1)</f>
        <v>R4251279-R6016876-</v>
      </c>
      <c r="B507" s="3" t="str">
        <f t="shared" si="7"/>
        <v>R4251279-R6016876-</v>
      </c>
      <c r="C507" s="2" t="s">
        <v>108</v>
      </c>
      <c r="D507" s="2" t="s">
        <v>109</v>
      </c>
      <c r="E507" s="2" t="s">
        <v>110</v>
      </c>
      <c r="F507" s="2" t="s">
        <v>111</v>
      </c>
      <c r="G507" s="2" t="s">
        <v>2076</v>
      </c>
      <c r="H507" s="2" t="s">
        <v>112</v>
      </c>
      <c r="I507" s="2" t="s">
        <v>428</v>
      </c>
      <c r="J507" s="2"/>
      <c r="K507" s="2" t="s">
        <v>2077</v>
      </c>
      <c r="L507" s="2" t="s">
        <v>429</v>
      </c>
      <c r="M507" s="2"/>
      <c r="N507" s="2" t="s">
        <v>430</v>
      </c>
      <c r="O507" s="2"/>
      <c r="P507" s="2"/>
      <c r="Q507" s="2"/>
      <c r="R507" s="2"/>
      <c r="S507" s="2"/>
      <c r="T507" s="2" t="s">
        <v>2041</v>
      </c>
    </row>
    <row r="508" spans="1:20" ht="45" hidden="1" x14ac:dyDescent="0.25">
      <c r="A508" t="str">
        <f>INDEX('Orig (V1_BCK)'!$C:$C,MATCH($B508,'Orig (V1_BCK)'!$C:$C,0),1)</f>
        <v>R4251279-R6016876-</v>
      </c>
      <c r="B508" s="3" t="str">
        <f t="shared" si="7"/>
        <v>R4251279-R6016876-</v>
      </c>
      <c r="C508" s="2" t="s">
        <v>108</v>
      </c>
      <c r="D508" s="2" t="s">
        <v>109</v>
      </c>
      <c r="E508" s="2" t="s">
        <v>110</v>
      </c>
      <c r="F508" s="2" t="s">
        <v>111</v>
      </c>
      <c r="G508" s="2" t="s">
        <v>2076</v>
      </c>
      <c r="H508" s="2" t="s">
        <v>112</v>
      </c>
      <c r="I508" s="2" t="s">
        <v>428</v>
      </c>
      <c r="J508" s="2"/>
      <c r="K508" s="2" t="s">
        <v>2077</v>
      </c>
      <c r="L508" s="2" t="s">
        <v>429</v>
      </c>
      <c r="M508" s="2"/>
      <c r="N508" s="2" t="s">
        <v>430</v>
      </c>
      <c r="O508" s="2"/>
      <c r="P508" s="2"/>
      <c r="Q508" s="2"/>
      <c r="R508" s="2"/>
      <c r="S508" s="2"/>
      <c r="T508" s="2" t="s">
        <v>2041</v>
      </c>
    </row>
    <row r="509" spans="1:20" ht="45" hidden="1" x14ac:dyDescent="0.25">
      <c r="A509" t="str">
        <f>INDEX('Orig (V1_BCK)'!$C:$C,MATCH($B509,'Orig (V1_BCK)'!$C:$C,0),1)</f>
        <v>R4251279-R6932822-</v>
      </c>
      <c r="B509" s="3" t="str">
        <f t="shared" si="7"/>
        <v>R4251279-R6932822-</v>
      </c>
      <c r="C509" s="2" t="s">
        <v>108</v>
      </c>
      <c r="D509" s="2" t="s">
        <v>109</v>
      </c>
      <c r="E509" s="2" t="s">
        <v>110</v>
      </c>
      <c r="F509" s="2" t="s">
        <v>111</v>
      </c>
      <c r="G509" s="2" t="s">
        <v>2076</v>
      </c>
      <c r="H509" s="2" t="s">
        <v>112</v>
      </c>
      <c r="I509" s="2" t="s">
        <v>164</v>
      </c>
      <c r="J509" s="2"/>
      <c r="K509" s="2" t="s">
        <v>2077</v>
      </c>
      <c r="L509" s="2" t="s">
        <v>165</v>
      </c>
      <c r="M509" s="2"/>
      <c r="N509" s="2" t="s">
        <v>166</v>
      </c>
      <c r="O509" s="2"/>
      <c r="P509" s="2"/>
      <c r="Q509" s="2"/>
      <c r="R509" s="2"/>
      <c r="S509" s="2"/>
      <c r="T509" s="2" t="s">
        <v>2041</v>
      </c>
    </row>
    <row r="510" spans="1:20" ht="45" hidden="1" x14ac:dyDescent="0.25">
      <c r="A510" t="str">
        <f>INDEX('Orig (V1_BCK)'!$C:$C,MATCH($B510,'Orig (V1_BCK)'!$C:$C,0),1)</f>
        <v>R4251279-R8094337-</v>
      </c>
      <c r="B510" s="3" t="str">
        <f t="shared" si="7"/>
        <v>R4251279-R8094337-</v>
      </c>
      <c r="C510" s="2" t="s">
        <v>108</v>
      </c>
      <c r="D510" s="2" t="s">
        <v>109</v>
      </c>
      <c r="E510" s="2" t="s">
        <v>110</v>
      </c>
      <c r="F510" s="2" t="s">
        <v>111</v>
      </c>
      <c r="G510" s="2" t="s">
        <v>2076</v>
      </c>
      <c r="H510" s="2" t="s">
        <v>112</v>
      </c>
      <c r="I510" s="2" t="s">
        <v>238</v>
      </c>
      <c r="J510" s="2"/>
      <c r="K510" s="2" t="s">
        <v>2077</v>
      </c>
      <c r="L510" s="2" t="s">
        <v>239</v>
      </c>
      <c r="M510" s="2"/>
      <c r="N510" s="2" t="s">
        <v>240</v>
      </c>
      <c r="O510" s="2"/>
      <c r="P510" s="2"/>
      <c r="Q510" s="2"/>
      <c r="R510" s="2"/>
      <c r="S510" s="2"/>
      <c r="T510" s="2" t="s">
        <v>2041</v>
      </c>
    </row>
    <row r="511" spans="1:20" ht="45" hidden="1" x14ac:dyDescent="0.25">
      <c r="A511" t="str">
        <f>INDEX('Orig (V1_BCK)'!$C:$C,MATCH($B511,'Orig (V1_BCK)'!$C:$C,0),1)</f>
        <v>R4251279-R9253941-</v>
      </c>
      <c r="B511" s="3" t="str">
        <f t="shared" si="7"/>
        <v>R4251279-R9253941-</v>
      </c>
      <c r="C511" s="2" t="s">
        <v>108</v>
      </c>
      <c r="D511" s="2" t="s">
        <v>109</v>
      </c>
      <c r="E511" s="2" t="s">
        <v>110</v>
      </c>
      <c r="F511" s="2" t="s">
        <v>111</v>
      </c>
      <c r="G511" s="2" t="s">
        <v>2076</v>
      </c>
      <c r="H511" s="2" t="s">
        <v>112</v>
      </c>
      <c r="I511" s="2" t="s">
        <v>161</v>
      </c>
      <c r="J511" s="2"/>
      <c r="K511" s="2" t="s">
        <v>2077</v>
      </c>
      <c r="L511" s="2" t="s">
        <v>162</v>
      </c>
      <c r="M511" s="2"/>
      <c r="N511" s="2" t="s">
        <v>163</v>
      </c>
      <c r="O511" s="2"/>
      <c r="P511" s="2"/>
      <c r="Q511" s="2"/>
      <c r="R511" s="2"/>
      <c r="S511" s="2"/>
      <c r="T511" s="2" t="s">
        <v>2041</v>
      </c>
    </row>
    <row r="512" spans="1:20" ht="45" hidden="1" x14ac:dyDescent="0.25">
      <c r="A512" t="str">
        <f>INDEX('Orig (V1_BCK)'!$C:$C,MATCH($B512,'Orig (V1_BCK)'!$C:$C,0),1)</f>
        <v>R4251279-S0210935-</v>
      </c>
      <c r="B512" s="3" t="str">
        <f t="shared" si="7"/>
        <v>R4251279-S0210935-</v>
      </c>
      <c r="C512" s="2" t="s">
        <v>108</v>
      </c>
      <c r="D512" s="2" t="s">
        <v>109</v>
      </c>
      <c r="E512" s="2" t="s">
        <v>110</v>
      </c>
      <c r="F512" s="2" t="s">
        <v>111</v>
      </c>
      <c r="G512" s="2" t="s">
        <v>2076</v>
      </c>
      <c r="H512" s="2" t="s">
        <v>112</v>
      </c>
      <c r="I512" s="2" t="s">
        <v>376</v>
      </c>
      <c r="J512" s="2"/>
      <c r="K512" s="2" t="s">
        <v>2077</v>
      </c>
      <c r="L512" s="2" t="s">
        <v>377</v>
      </c>
      <c r="M512" s="2"/>
      <c r="N512" s="2" t="s">
        <v>378</v>
      </c>
      <c r="O512" s="2"/>
      <c r="P512" s="2"/>
      <c r="Q512" s="2"/>
      <c r="R512" s="2"/>
      <c r="S512" s="2"/>
      <c r="T512" s="2" t="s">
        <v>2041</v>
      </c>
    </row>
    <row r="513" spans="1:20" ht="45" hidden="1" x14ac:dyDescent="0.25">
      <c r="A513" t="str">
        <f>INDEX('Orig (V1_BCK)'!$C:$C,MATCH($B513,'Orig (V1_BCK)'!$C:$C,0),1)</f>
        <v>R4251279-S1699066-</v>
      </c>
      <c r="B513" s="3" t="str">
        <f t="shared" si="7"/>
        <v>R4251279-S1699066-</v>
      </c>
      <c r="C513" s="2" t="s">
        <v>108</v>
      </c>
      <c r="D513" s="2" t="s">
        <v>109</v>
      </c>
      <c r="E513" s="2" t="s">
        <v>110</v>
      </c>
      <c r="F513" s="2" t="s">
        <v>111</v>
      </c>
      <c r="G513" s="2" t="s">
        <v>2076</v>
      </c>
      <c r="H513" s="2" t="s">
        <v>112</v>
      </c>
      <c r="I513" s="2" t="s">
        <v>406</v>
      </c>
      <c r="J513" s="2"/>
      <c r="K513" s="2" t="s">
        <v>2077</v>
      </c>
      <c r="L513" s="2" t="s">
        <v>407</v>
      </c>
      <c r="M513" s="2"/>
      <c r="N513" s="2" t="s">
        <v>408</v>
      </c>
      <c r="O513" s="2"/>
      <c r="P513" s="2"/>
      <c r="Q513" s="2"/>
      <c r="R513" s="2"/>
      <c r="S513" s="2"/>
      <c r="T513" s="2" t="s">
        <v>2041</v>
      </c>
    </row>
    <row r="514" spans="1:20" ht="45" hidden="1" x14ac:dyDescent="0.25">
      <c r="A514" t="str">
        <f>INDEX('Orig (V1_BCK)'!$C:$C,MATCH($B514,'Orig (V1_BCK)'!$C:$C,0),1)</f>
        <v>R4251279-S1731588-</v>
      </c>
      <c r="B514" s="3" t="str">
        <f t="shared" si="7"/>
        <v>R4251279-S1731588-</v>
      </c>
      <c r="C514" s="2" t="s">
        <v>108</v>
      </c>
      <c r="D514" s="2" t="s">
        <v>109</v>
      </c>
      <c r="E514" s="2" t="s">
        <v>110</v>
      </c>
      <c r="F514" s="2" t="s">
        <v>111</v>
      </c>
      <c r="G514" s="2" t="s">
        <v>2076</v>
      </c>
      <c r="H514" s="2" t="s">
        <v>112</v>
      </c>
      <c r="I514" s="2" t="s">
        <v>348</v>
      </c>
      <c r="J514" s="2"/>
      <c r="K514" s="2" t="s">
        <v>2077</v>
      </c>
      <c r="L514" s="2" t="s">
        <v>349</v>
      </c>
      <c r="M514" s="2"/>
      <c r="N514" s="2" t="s">
        <v>350</v>
      </c>
      <c r="O514" s="2"/>
      <c r="P514" s="2"/>
      <c r="Q514" s="2"/>
      <c r="R514" s="2"/>
      <c r="S514" s="2"/>
      <c r="T514" s="2" t="s">
        <v>2041</v>
      </c>
    </row>
    <row r="515" spans="1:20" ht="45" hidden="1" x14ac:dyDescent="0.25">
      <c r="A515" t="str">
        <f>INDEX('Orig (V1_BCK)'!$C:$C,MATCH($B515,'Orig (V1_BCK)'!$C:$C,0),1)</f>
        <v>R4251279-S1860198-</v>
      </c>
      <c r="B515" s="3" t="str">
        <f t="shared" ref="B515:B563" si="8">_xlfn.TEXTJOIN("-",FALSE,$C515,$I515,$J515)</f>
        <v>R4251279-S1860198-</v>
      </c>
      <c r="C515" s="2" t="s">
        <v>108</v>
      </c>
      <c r="D515" s="2" t="s">
        <v>109</v>
      </c>
      <c r="E515" s="2" t="s">
        <v>110</v>
      </c>
      <c r="F515" s="2" t="s">
        <v>111</v>
      </c>
      <c r="G515" s="2" t="s">
        <v>2076</v>
      </c>
      <c r="H515" s="2" t="s">
        <v>112</v>
      </c>
      <c r="I515" s="2" t="s">
        <v>118</v>
      </c>
      <c r="J515" s="2"/>
      <c r="K515" s="2" t="s">
        <v>2077</v>
      </c>
      <c r="L515" s="2" t="s">
        <v>119</v>
      </c>
      <c r="M515" s="2"/>
      <c r="N515" s="2" t="s">
        <v>120</v>
      </c>
      <c r="O515" s="2"/>
      <c r="P515" s="2"/>
      <c r="Q515" s="2"/>
      <c r="R515" s="2"/>
      <c r="S515" s="2"/>
      <c r="T515" s="2" t="s">
        <v>2041</v>
      </c>
    </row>
    <row r="516" spans="1:20" ht="45" hidden="1" x14ac:dyDescent="0.25">
      <c r="A516" t="str">
        <f>INDEX('Orig (V1_BCK)'!$C:$C,MATCH($B516,'Orig (V1_BCK)'!$C:$C,0),1)</f>
        <v>R4251279-S9863090-</v>
      </c>
      <c r="B516" s="3" t="str">
        <f t="shared" si="8"/>
        <v>R4251279-S9863090-</v>
      </c>
      <c r="C516" s="2" t="s">
        <v>108</v>
      </c>
      <c r="D516" s="2" t="s">
        <v>109</v>
      </c>
      <c r="E516" s="2" t="s">
        <v>110</v>
      </c>
      <c r="F516" s="2" t="s">
        <v>111</v>
      </c>
      <c r="G516" s="2" t="s">
        <v>2076</v>
      </c>
      <c r="H516" s="2" t="s">
        <v>112</v>
      </c>
      <c r="I516" s="2" t="s">
        <v>309</v>
      </c>
      <c r="J516" s="2"/>
      <c r="K516" s="2" t="s">
        <v>2077</v>
      </c>
      <c r="L516" s="2" t="s">
        <v>310</v>
      </c>
      <c r="M516" s="2"/>
      <c r="N516" s="2" t="s">
        <v>311</v>
      </c>
      <c r="O516" s="2"/>
      <c r="P516" s="2"/>
      <c r="Q516" s="2"/>
      <c r="R516" s="2"/>
      <c r="S516" s="2"/>
      <c r="T516" s="2" t="s">
        <v>2041</v>
      </c>
    </row>
    <row r="517" spans="1:20" ht="45" hidden="1" x14ac:dyDescent="0.25">
      <c r="A517" t="str">
        <f>INDEX('Orig (V1_BCK)'!$C:$C,MATCH($B517,'Orig (V1_BCK)'!$C:$C,0),1)</f>
        <v>R4251279-W2695769-</v>
      </c>
      <c r="B517" s="3" t="str">
        <f t="shared" si="8"/>
        <v>R4251279-W2695769-</v>
      </c>
      <c r="C517" s="2" t="s">
        <v>108</v>
      </c>
      <c r="D517" s="2" t="s">
        <v>109</v>
      </c>
      <c r="E517" s="2" t="s">
        <v>110</v>
      </c>
      <c r="F517" s="2" t="s">
        <v>111</v>
      </c>
      <c r="G517" s="2" t="s">
        <v>2076</v>
      </c>
      <c r="H517" s="2" t="s">
        <v>112</v>
      </c>
      <c r="I517" s="2" t="s">
        <v>351</v>
      </c>
      <c r="J517" s="2"/>
      <c r="K517" s="2" t="s">
        <v>2077</v>
      </c>
      <c r="L517" s="2" t="s">
        <v>310</v>
      </c>
      <c r="M517" s="2"/>
      <c r="N517" s="2" t="s">
        <v>352</v>
      </c>
      <c r="O517" s="2"/>
      <c r="P517" s="2"/>
      <c r="Q517" s="2"/>
      <c r="R517" s="2"/>
      <c r="S517" s="2"/>
      <c r="T517" s="2" t="s">
        <v>2041</v>
      </c>
    </row>
    <row r="518" spans="1:20" ht="45" hidden="1" x14ac:dyDescent="0.25">
      <c r="A518" t="str">
        <f>INDEX('Orig (V1_BCK)'!$C:$C,MATCH($B518,'Orig (V1_BCK)'!$C:$C,0),1)</f>
        <v>R4251279-Y0253734-</v>
      </c>
      <c r="B518" s="3" t="str">
        <f t="shared" si="8"/>
        <v>R4251279-Y0253734-</v>
      </c>
      <c r="C518" s="2" t="s">
        <v>108</v>
      </c>
      <c r="D518" s="2" t="s">
        <v>109</v>
      </c>
      <c r="E518" s="2" t="s">
        <v>110</v>
      </c>
      <c r="F518" s="2" t="s">
        <v>111</v>
      </c>
      <c r="G518" s="2" t="s">
        <v>2076</v>
      </c>
      <c r="H518" s="2" t="s">
        <v>112</v>
      </c>
      <c r="I518" s="2" t="s">
        <v>379</v>
      </c>
      <c r="J518" s="2"/>
      <c r="K518" s="2" t="s">
        <v>2077</v>
      </c>
      <c r="L518" s="2" t="s">
        <v>380</v>
      </c>
      <c r="M518" s="2"/>
      <c r="N518" s="2" t="s">
        <v>381</v>
      </c>
      <c r="O518" s="2"/>
      <c r="P518" s="2"/>
      <c r="Q518" s="2"/>
      <c r="R518" s="2"/>
      <c r="S518" s="2"/>
      <c r="T518" s="2" t="s">
        <v>2041</v>
      </c>
    </row>
    <row r="519" spans="1:20" ht="45" hidden="1" x14ac:dyDescent="0.25">
      <c r="A519" t="str">
        <f>INDEX('Orig (V1_BCK)'!$C:$C,MATCH($B519,'Orig (V1_BCK)'!$C:$C,0),1)</f>
        <v>R4251279-Y0565913-</v>
      </c>
      <c r="B519" s="3" t="str">
        <f t="shared" si="8"/>
        <v>R4251279-Y0565913-</v>
      </c>
      <c r="C519" s="2" t="s">
        <v>108</v>
      </c>
      <c r="D519" s="2" t="s">
        <v>109</v>
      </c>
      <c r="E519" s="2" t="s">
        <v>110</v>
      </c>
      <c r="F519" s="2" t="s">
        <v>111</v>
      </c>
      <c r="G519" s="2" t="s">
        <v>2076</v>
      </c>
      <c r="H519" s="2" t="s">
        <v>112</v>
      </c>
      <c r="I519" s="2" t="s">
        <v>414</v>
      </c>
      <c r="J519" s="2"/>
      <c r="K519" s="2" t="s">
        <v>2077</v>
      </c>
      <c r="L519" s="2" t="s">
        <v>380</v>
      </c>
      <c r="M519" s="2"/>
      <c r="N519" s="2" t="s">
        <v>415</v>
      </c>
      <c r="O519" s="2"/>
      <c r="P519" s="2"/>
      <c r="Q519" s="2"/>
      <c r="R519" s="2"/>
      <c r="S519" s="2"/>
      <c r="T519" s="2" t="s">
        <v>2041</v>
      </c>
    </row>
    <row r="520" spans="1:20" ht="45" hidden="1" x14ac:dyDescent="0.25">
      <c r="A520" t="str">
        <f>INDEX('Orig (V1_BCK)'!$C:$C,MATCH($B520,'Orig (V1_BCK)'!$C:$C,0),1)</f>
        <v>R4251279-Y2715658-</v>
      </c>
      <c r="B520" s="3" t="str">
        <f t="shared" si="8"/>
        <v>R4251279-Y2715658-</v>
      </c>
      <c r="C520" s="2" t="s">
        <v>108</v>
      </c>
      <c r="D520" s="2" t="s">
        <v>109</v>
      </c>
      <c r="E520" s="2" t="s">
        <v>110</v>
      </c>
      <c r="F520" s="2" t="s">
        <v>111</v>
      </c>
      <c r="G520" s="2" t="s">
        <v>2076</v>
      </c>
      <c r="H520" s="2" t="s">
        <v>112</v>
      </c>
      <c r="I520" s="2" t="s">
        <v>385</v>
      </c>
      <c r="J520" s="2"/>
      <c r="K520" s="2" t="s">
        <v>2077</v>
      </c>
      <c r="L520" s="2" t="s">
        <v>386</v>
      </c>
      <c r="M520" s="2"/>
      <c r="N520" s="2" t="s">
        <v>387</v>
      </c>
      <c r="O520" s="2"/>
      <c r="P520" s="2"/>
      <c r="Q520" s="2"/>
      <c r="R520" s="2"/>
      <c r="S520" s="2"/>
      <c r="T520" s="2" t="s">
        <v>2041</v>
      </c>
    </row>
    <row r="521" spans="1:20" hidden="1" x14ac:dyDescent="0.25">
      <c r="A521" t="str">
        <f>INDEX('Orig (V1_BCK)'!$C:$C,MATCH($B521,'Orig (V1_BCK)'!$C:$C,0),1)</f>
        <v>R4393033-R4393033-</v>
      </c>
      <c r="B521" s="3" t="str">
        <f t="shared" si="8"/>
        <v>R4393033-R4393033-</v>
      </c>
      <c r="C521" s="2" t="s">
        <v>1021</v>
      </c>
      <c r="D521" s="2" t="s">
        <v>717</v>
      </c>
      <c r="E521" s="2" t="s">
        <v>1022</v>
      </c>
      <c r="F521" s="2" t="s">
        <v>1023</v>
      </c>
      <c r="G521" s="2" t="s">
        <v>2307</v>
      </c>
      <c r="H521" s="2" t="s">
        <v>1024</v>
      </c>
      <c r="I521" s="2" t="s">
        <v>1021</v>
      </c>
      <c r="J521" s="2"/>
      <c r="K521" s="2" t="s">
        <v>2308</v>
      </c>
      <c r="L521" s="2" t="s">
        <v>717</v>
      </c>
      <c r="M521" s="2"/>
      <c r="N521" s="2" t="s">
        <v>1022</v>
      </c>
      <c r="O521" s="2"/>
      <c r="P521" s="2" t="s">
        <v>1023</v>
      </c>
      <c r="Q521" s="2"/>
      <c r="R521" s="2"/>
      <c r="S521" s="2"/>
      <c r="T521" s="2" t="s">
        <v>2038</v>
      </c>
    </row>
    <row r="522" spans="1:20" hidden="1" x14ac:dyDescent="0.25">
      <c r="A522" t="str">
        <f>INDEX('Orig (V1_BCK)'!$C:$C,MATCH($B522,'Orig (V1_BCK)'!$C:$C,0),1)</f>
        <v>R4422109-R4422109-</v>
      </c>
      <c r="B522" s="3" t="str">
        <f t="shared" si="8"/>
        <v>R4422109-R4422109-</v>
      </c>
      <c r="C522" s="2" t="s">
        <v>938</v>
      </c>
      <c r="D522" s="2" t="s">
        <v>939</v>
      </c>
      <c r="E522" s="2" t="s">
        <v>11</v>
      </c>
      <c r="F522" s="2" t="s">
        <v>940</v>
      </c>
      <c r="G522" s="2" t="s">
        <v>2267</v>
      </c>
      <c r="H522" s="2" t="s">
        <v>941</v>
      </c>
      <c r="I522" s="2" t="s">
        <v>938</v>
      </c>
      <c r="J522" s="2"/>
      <c r="K522" s="2" t="s">
        <v>2268</v>
      </c>
      <c r="L522" s="2" t="s">
        <v>939</v>
      </c>
      <c r="M522" s="2"/>
      <c r="N522" s="2" t="s">
        <v>11</v>
      </c>
      <c r="O522" s="2"/>
      <c r="P522" s="2" t="s">
        <v>940</v>
      </c>
      <c r="Q522" s="2"/>
      <c r="R522" s="2"/>
      <c r="S522" s="2"/>
      <c r="T522" s="2" t="s">
        <v>2083</v>
      </c>
    </row>
    <row r="523" spans="1:20" ht="30" hidden="1" x14ac:dyDescent="0.25">
      <c r="A523" t="e">
        <f>INDEX('Orig (V1_BCK)'!$C:$C,MATCH($B523,'Orig (V1_BCK)'!$C:$C,0),1)</f>
        <v>#N/A</v>
      </c>
      <c r="B523" s="3" t="str">
        <f t="shared" si="8"/>
        <v>R4600568--</v>
      </c>
      <c r="C523" s="2" t="s">
        <v>1718</v>
      </c>
      <c r="D523" s="2" t="s">
        <v>1719</v>
      </c>
      <c r="E523" s="2" t="s">
        <v>29</v>
      </c>
      <c r="F523" s="2" t="s">
        <v>1720</v>
      </c>
      <c r="G523" s="2" t="s">
        <v>2538</v>
      </c>
      <c r="H523" s="2" t="s">
        <v>1721</v>
      </c>
      <c r="I523" s="2"/>
      <c r="J523" s="2"/>
      <c r="K523" s="2" t="s">
        <v>1312</v>
      </c>
      <c r="L523" s="2"/>
      <c r="M523" s="2"/>
      <c r="N523" s="2"/>
      <c r="O523" s="2"/>
      <c r="P523" s="2"/>
      <c r="Q523" s="2"/>
      <c r="R523" s="2"/>
      <c r="S523" s="2"/>
      <c r="T523" s="2" t="s">
        <v>2046</v>
      </c>
    </row>
    <row r="524" spans="1:20" ht="45" hidden="1" x14ac:dyDescent="0.25">
      <c r="A524" t="e">
        <f>INDEX('Orig (V1_BCK)'!$C:$C,MATCH($B524,'Orig (V1_BCK)'!$C:$C,0),1)</f>
        <v>#N/A</v>
      </c>
      <c r="B524" s="3" t="str">
        <f t="shared" si="8"/>
        <v>R4988916--</v>
      </c>
      <c r="C524" s="2" t="s">
        <v>1881</v>
      </c>
      <c r="D524" s="2" t="s">
        <v>1882</v>
      </c>
      <c r="E524" s="2" t="s">
        <v>1883</v>
      </c>
      <c r="F524" s="2" t="s">
        <v>1884</v>
      </c>
      <c r="G524" s="2" t="s">
        <v>2586</v>
      </c>
      <c r="H524" s="2" t="s">
        <v>1885</v>
      </c>
      <c r="I524" s="2"/>
      <c r="J524" s="2"/>
      <c r="K524" s="2" t="s">
        <v>1312</v>
      </c>
      <c r="L524" s="2"/>
      <c r="M524" s="2"/>
      <c r="N524" s="2"/>
      <c r="O524" s="2"/>
      <c r="P524" s="2"/>
      <c r="Q524" s="2"/>
      <c r="R524" s="2"/>
      <c r="S524" s="2"/>
      <c r="T524" s="2" t="s">
        <v>2041</v>
      </c>
    </row>
    <row r="525" spans="1:20" ht="45" hidden="1" x14ac:dyDescent="0.25">
      <c r="A525" t="str">
        <f>INDEX('Orig (V1_BCK)'!$C:$C,MATCH($B525,'Orig (V1_BCK)'!$C:$C,0),1)</f>
        <v>R5077557--A6556153</v>
      </c>
      <c r="B525" s="3" t="str">
        <f t="shared" si="8"/>
        <v>R5077557--A6556153</v>
      </c>
      <c r="C525" s="2" t="s">
        <v>9</v>
      </c>
      <c r="D525" s="2" t="s">
        <v>10</v>
      </c>
      <c r="E525" s="2" t="s">
        <v>11</v>
      </c>
      <c r="F525" s="2" t="s">
        <v>12</v>
      </c>
      <c r="G525" s="2" t="s">
        <v>2039</v>
      </c>
      <c r="H525" s="2" t="s">
        <v>13</v>
      </c>
      <c r="I525" s="2"/>
      <c r="J525" s="2" t="s">
        <v>14</v>
      </c>
      <c r="K525" s="2" t="s">
        <v>2040</v>
      </c>
      <c r="L525" s="2"/>
      <c r="M525" s="2" t="s">
        <v>15</v>
      </c>
      <c r="N525" s="2"/>
      <c r="O525" s="2" t="s">
        <v>16</v>
      </c>
      <c r="P525" s="2"/>
      <c r="Q525" s="2" t="s">
        <v>17</v>
      </c>
      <c r="R525" s="2"/>
      <c r="S525" s="2"/>
      <c r="T525" s="2" t="s">
        <v>2041</v>
      </c>
    </row>
    <row r="526" spans="1:20" hidden="1" x14ac:dyDescent="0.25">
      <c r="A526" t="str">
        <f>INDEX('Orig (V1_BCK)'!$C:$C,MATCH($B526,'Orig (V1_BCK)'!$C:$C,0),1)</f>
        <v>R5240001-R5240001-</v>
      </c>
      <c r="B526" s="3" t="str">
        <f t="shared" si="8"/>
        <v>R5240001-R5240001-</v>
      </c>
      <c r="C526" s="2" t="s">
        <v>668</v>
      </c>
      <c r="D526" s="2" t="s">
        <v>669</v>
      </c>
      <c r="E526" s="2" t="s">
        <v>670</v>
      </c>
      <c r="F526" s="2" t="s">
        <v>671</v>
      </c>
      <c r="G526" s="2" t="s">
        <v>2172</v>
      </c>
      <c r="H526" s="2" t="s">
        <v>672</v>
      </c>
      <c r="I526" s="2" t="s">
        <v>668</v>
      </c>
      <c r="J526" s="2"/>
      <c r="K526" s="2" t="s">
        <v>2173</v>
      </c>
      <c r="L526" s="2" t="s">
        <v>669</v>
      </c>
      <c r="M526" s="2"/>
      <c r="N526" s="2" t="s">
        <v>670</v>
      </c>
      <c r="O526" s="2"/>
      <c r="P526" s="2" t="s">
        <v>671</v>
      </c>
      <c r="Q526" s="2"/>
      <c r="R526" s="2"/>
      <c r="S526" s="2"/>
      <c r="T526" s="2" t="s">
        <v>2038</v>
      </c>
    </row>
    <row r="527" spans="1:20" ht="45" hidden="1" x14ac:dyDescent="0.25">
      <c r="A527" t="e">
        <f>INDEX('Orig (V1_BCK)'!$C:$C,MATCH($B527,'Orig (V1_BCK)'!$C:$C,0),1)</f>
        <v>#N/A</v>
      </c>
      <c r="B527" s="3" t="str">
        <f t="shared" si="8"/>
        <v>R5282281--</v>
      </c>
      <c r="C527" s="2" t="s">
        <v>1978</v>
      </c>
      <c r="D527" s="2" t="s">
        <v>939</v>
      </c>
      <c r="E527" s="2" t="s">
        <v>29</v>
      </c>
      <c r="F527" s="2" t="s">
        <v>557</v>
      </c>
      <c r="G527" s="2" t="s">
        <v>2615</v>
      </c>
      <c r="H527" s="2" t="s">
        <v>1979</v>
      </c>
      <c r="I527" s="2"/>
      <c r="J527" s="2"/>
      <c r="K527" s="2" t="s">
        <v>1312</v>
      </c>
      <c r="L527" s="2"/>
      <c r="M527" s="2"/>
      <c r="N527" s="2"/>
      <c r="O527" s="2"/>
      <c r="P527" s="2"/>
      <c r="Q527" s="2"/>
      <c r="R527" s="2"/>
      <c r="S527" s="2"/>
      <c r="T527" s="2" t="s">
        <v>2041</v>
      </c>
    </row>
    <row r="528" spans="1:20" hidden="1" x14ac:dyDescent="0.25">
      <c r="A528" t="str">
        <f>INDEX('Orig (V1_BCK)'!$C:$C,MATCH($B528,'Orig (V1_BCK)'!$C:$C,0),1)</f>
        <v>R5955364--B2149319</v>
      </c>
      <c r="B528" s="3" t="str">
        <f t="shared" si="8"/>
        <v>R5955364--B2149319</v>
      </c>
      <c r="C528" s="2" t="s">
        <v>631</v>
      </c>
      <c r="D528" s="2" t="s">
        <v>632</v>
      </c>
      <c r="E528" s="2" t="s">
        <v>633</v>
      </c>
      <c r="F528" s="2" t="s">
        <v>634</v>
      </c>
      <c r="G528" s="2" t="s">
        <v>2161</v>
      </c>
      <c r="H528" s="2" t="s">
        <v>1020</v>
      </c>
      <c r="I528" s="2"/>
      <c r="J528" s="2" t="s">
        <v>531</v>
      </c>
      <c r="K528" s="2" t="s">
        <v>2118</v>
      </c>
      <c r="L528" s="2"/>
      <c r="M528" s="2" t="s">
        <v>532</v>
      </c>
      <c r="N528" s="2"/>
      <c r="O528" s="2" t="s">
        <v>21</v>
      </c>
      <c r="P528" s="2"/>
      <c r="Q528" s="2" t="s">
        <v>533</v>
      </c>
      <c r="R528" s="2"/>
      <c r="S528" s="2"/>
      <c r="T528" s="2" t="s">
        <v>2071</v>
      </c>
    </row>
    <row r="529" spans="1:20" hidden="1" x14ac:dyDescent="0.25">
      <c r="A529" t="str">
        <f>INDEX('Orig (V1_BCK)'!$C:$C,MATCH($B529,'Orig (V1_BCK)'!$C:$C,0),1)</f>
        <v>R7419095--M2662009</v>
      </c>
      <c r="B529" s="3" t="str">
        <f t="shared" si="8"/>
        <v>R7419095--M2662009</v>
      </c>
      <c r="C529" s="2" t="s">
        <v>1077</v>
      </c>
      <c r="D529" s="2" t="s">
        <v>610</v>
      </c>
      <c r="E529" s="2" t="s">
        <v>1078</v>
      </c>
      <c r="F529" s="2" t="s">
        <v>1079</v>
      </c>
      <c r="G529" s="2" t="s">
        <v>2337</v>
      </c>
      <c r="H529" s="2" t="s">
        <v>2337</v>
      </c>
      <c r="I529" s="2"/>
      <c r="J529" s="2" t="s">
        <v>509</v>
      </c>
      <c r="K529" s="2" t="s">
        <v>2110</v>
      </c>
      <c r="L529" s="2"/>
      <c r="M529" s="2" t="s">
        <v>19</v>
      </c>
      <c r="N529" s="2"/>
      <c r="O529" s="2" t="s">
        <v>510</v>
      </c>
      <c r="P529" s="2"/>
      <c r="Q529" s="2" t="s">
        <v>511</v>
      </c>
      <c r="R529" s="2"/>
      <c r="S529" s="2"/>
      <c r="T529" s="2" t="s">
        <v>2083</v>
      </c>
    </row>
    <row r="530" spans="1:20" ht="45" hidden="1" x14ac:dyDescent="0.25">
      <c r="A530" t="e">
        <f>INDEX('Orig (V1_BCK)'!$C:$C,MATCH($B530,'Orig (V1_BCK)'!$C:$C,0),1)</f>
        <v>#N/A</v>
      </c>
      <c r="B530" s="3" t="str">
        <f t="shared" si="8"/>
        <v>R7560165--</v>
      </c>
      <c r="C530" s="2" t="s">
        <v>1837</v>
      </c>
      <c r="D530" s="2" t="s">
        <v>1838</v>
      </c>
      <c r="E530" s="2" t="s">
        <v>741</v>
      </c>
      <c r="F530" s="2" t="s">
        <v>1839</v>
      </c>
      <c r="G530" s="2" t="s">
        <v>2573</v>
      </c>
      <c r="H530" s="2" t="s">
        <v>1840</v>
      </c>
      <c r="I530" s="2"/>
      <c r="J530" s="2"/>
      <c r="K530" s="2" t="s">
        <v>1312</v>
      </c>
      <c r="L530" s="2"/>
      <c r="M530" s="2"/>
      <c r="N530" s="2"/>
      <c r="O530" s="2"/>
      <c r="P530" s="2"/>
      <c r="Q530" s="2"/>
      <c r="R530" s="2"/>
      <c r="S530" s="2"/>
      <c r="T530" s="2" t="s">
        <v>2041</v>
      </c>
    </row>
    <row r="531" spans="1:20" hidden="1" x14ac:dyDescent="0.25">
      <c r="A531" t="str">
        <f>INDEX('Orig (V1_BCK)'!$C:$C,MATCH($B531,'Orig (V1_BCK)'!$C:$C,0),1)</f>
        <v>R8352994-R8352994-</v>
      </c>
      <c r="B531" s="3" t="str">
        <f t="shared" si="8"/>
        <v>R8352994-R8352994-</v>
      </c>
      <c r="C531" s="2" t="s">
        <v>94</v>
      </c>
      <c r="D531" s="2" t="s">
        <v>95</v>
      </c>
      <c r="E531" s="2" t="s">
        <v>96</v>
      </c>
      <c r="F531" s="2" t="s">
        <v>97</v>
      </c>
      <c r="G531" s="2" t="s">
        <v>2072</v>
      </c>
      <c r="H531" s="2" t="s">
        <v>98</v>
      </c>
      <c r="I531" s="2" t="s">
        <v>94</v>
      </c>
      <c r="J531" s="2"/>
      <c r="K531" s="2" t="s">
        <v>2073</v>
      </c>
      <c r="L531" s="2" t="s">
        <v>95</v>
      </c>
      <c r="M531" s="2"/>
      <c r="N531" s="2" t="s">
        <v>96</v>
      </c>
      <c r="O531" s="2"/>
      <c r="P531" s="2" t="s">
        <v>97</v>
      </c>
      <c r="Q531" s="2"/>
      <c r="R531" s="2"/>
      <c r="S531" s="2"/>
      <c r="T531" s="2" t="s">
        <v>2038</v>
      </c>
    </row>
    <row r="532" spans="1:20" ht="30" hidden="1" x14ac:dyDescent="0.25">
      <c r="A532" t="e">
        <f>INDEX('Orig (V1_BCK)'!$C:$C,MATCH($B532,'Orig (V1_BCK)'!$C:$C,0),1)</f>
        <v>#N/A</v>
      </c>
      <c r="B532" s="3" t="str">
        <f t="shared" si="8"/>
        <v>R8505997--</v>
      </c>
      <c r="C532" s="2" t="s">
        <v>1630</v>
      </c>
      <c r="D532" s="2" t="s">
        <v>610</v>
      </c>
      <c r="E532" s="2" t="s">
        <v>8</v>
      </c>
      <c r="F532" s="2" t="s">
        <v>1631</v>
      </c>
      <c r="G532" s="2" t="s">
        <v>2511</v>
      </c>
      <c r="H532" s="2" t="s">
        <v>1632</v>
      </c>
      <c r="I532" s="2"/>
      <c r="J532" s="2"/>
      <c r="K532" s="2" t="s">
        <v>1312</v>
      </c>
      <c r="L532" s="2"/>
      <c r="M532" s="2"/>
      <c r="N532" s="2"/>
      <c r="O532" s="2"/>
      <c r="P532" s="2"/>
      <c r="Q532" s="2"/>
      <c r="R532" s="2"/>
      <c r="S532" s="2"/>
      <c r="T532" s="2" t="s">
        <v>2041</v>
      </c>
    </row>
    <row r="533" spans="1:20" hidden="1" x14ac:dyDescent="0.25">
      <c r="A533" t="str">
        <f>INDEX('Orig (V1_BCK)'!$C:$C,MATCH($B533,'Orig (V1_BCK)'!$C:$C,0),1)</f>
        <v>R8849211-R8849211-</v>
      </c>
      <c r="B533" s="3" t="str">
        <f t="shared" si="8"/>
        <v>R8849211-R8849211-</v>
      </c>
      <c r="C533" s="2" t="s">
        <v>513</v>
      </c>
      <c r="D533" s="2" t="s">
        <v>514</v>
      </c>
      <c r="E533" s="2" t="s">
        <v>515</v>
      </c>
      <c r="F533" s="2" t="s">
        <v>516</v>
      </c>
      <c r="G533" s="2" t="s">
        <v>2111</v>
      </c>
      <c r="H533" s="2" t="s">
        <v>517</v>
      </c>
      <c r="I533" s="2" t="s">
        <v>513</v>
      </c>
      <c r="J533" s="2"/>
      <c r="K533" s="2" t="s">
        <v>2112</v>
      </c>
      <c r="L533" s="2" t="s">
        <v>514</v>
      </c>
      <c r="M533" s="2"/>
      <c r="N533" s="2" t="s">
        <v>515</v>
      </c>
      <c r="O533" s="2"/>
      <c r="P533" s="2" t="s">
        <v>516</v>
      </c>
      <c r="Q533" s="2"/>
      <c r="R533" s="2"/>
      <c r="S533" s="2"/>
      <c r="T533" s="2" t="s">
        <v>2046</v>
      </c>
    </row>
    <row r="534" spans="1:20" ht="30" hidden="1" x14ac:dyDescent="0.25">
      <c r="A534" t="e">
        <f>INDEX('Orig (V1_BCK)'!$C:$C,MATCH($B534,'Orig (V1_BCK)'!$C:$C,0),1)</f>
        <v>#N/A</v>
      </c>
      <c r="B534" s="3" t="str">
        <f t="shared" si="8"/>
        <v>R9288525--</v>
      </c>
      <c r="C534" s="2" t="s">
        <v>1982</v>
      </c>
      <c r="D534" s="2" t="s">
        <v>514</v>
      </c>
      <c r="E534" s="2" t="s">
        <v>642</v>
      </c>
      <c r="F534" s="2" t="s">
        <v>8</v>
      </c>
      <c r="G534" s="2" t="s">
        <v>2617</v>
      </c>
      <c r="H534" s="2" t="s">
        <v>1983</v>
      </c>
      <c r="I534" s="2"/>
      <c r="J534" s="2"/>
      <c r="K534" s="2" t="s">
        <v>1312</v>
      </c>
      <c r="L534" s="2"/>
      <c r="M534" s="2"/>
      <c r="N534" s="2"/>
      <c r="O534" s="2"/>
      <c r="P534" s="2"/>
      <c r="Q534" s="2"/>
      <c r="R534" s="2"/>
      <c r="S534" s="2"/>
      <c r="T534" s="2" t="s">
        <v>2080</v>
      </c>
    </row>
    <row r="535" spans="1:20" ht="45" hidden="1" x14ac:dyDescent="0.25">
      <c r="A535" t="e">
        <f>INDEX('Orig (V1_BCK)'!$C:$C,MATCH($B535,'Orig (V1_BCK)'!$C:$C,0),1)</f>
        <v>#N/A</v>
      </c>
      <c r="B535" s="3" t="str">
        <f t="shared" si="8"/>
        <v>R9438956--</v>
      </c>
      <c r="C535" s="2" t="s">
        <v>1793</v>
      </c>
      <c r="D535" s="2" t="s">
        <v>1794</v>
      </c>
      <c r="E535" s="2" t="s">
        <v>1795</v>
      </c>
      <c r="F535" s="2" t="s">
        <v>1796</v>
      </c>
      <c r="G535" s="2" t="s">
        <v>2559</v>
      </c>
      <c r="H535" s="2" t="s">
        <v>1797</v>
      </c>
      <c r="I535" s="2"/>
      <c r="J535" s="2"/>
      <c r="K535" s="2" t="s">
        <v>1312</v>
      </c>
      <c r="L535" s="2"/>
      <c r="M535" s="2"/>
      <c r="N535" s="2"/>
      <c r="O535" s="2"/>
      <c r="P535" s="2"/>
      <c r="Q535" s="2"/>
      <c r="R535" s="2"/>
      <c r="S535" s="2"/>
      <c r="T535" s="2" t="s">
        <v>2041</v>
      </c>
    </row>
    <row r="536" spans="1:20" hidden="1" x14ac:dyDescent="0.25">
      <c r="A536" t="e">
        <f>INDEX('Orig (V1_BCK)'!$C:$C,MATCH($B536,'Orig (V1_BCK)'!$C:$C,0),1)</f>
        <v>#N/A</v>
      </c>
      <c r="B536" s="3" t="str">
        <f t="shared" si="8"/>
        <v>R9576391--</v>
      </c>
      <c r="C536" s="2" t="s">
        <v>1912</v>
      </c>
      <c r="D536" s="2" t="s">
        <v>514</v>
      </c>
      <c r="E536" s="2" t="s">
        <v>1913</v>
      </c>
      <c r="F536" s="2" t="s">
        <v>11</v>
      </c>
      <c r="G536" s="2" t="s">
        <v>2594</v>
      </c>
      <c r="H536" s="2" t="s">
        <v>2594</v>
      </c>
      <c r="I536" s="2"/>
      <c r="J536" s="2"/>
      <c r="K536" s="2" t="s">
        <v>1312</v>
      </c>
      <c r="L536" s="2"/>
      <c r="M536" s="2"/>
      <c r="N536" s="2"/>
      <c r="O536" s="2"/>
      <c r="P536" s="2"/>
      <c r="Q536" s="2"/>
      <c r="R536" s="2"/>
      <c r="S536" s="2"/>
      <c r="T536" s="2" t="s">
        <v>2041</v>
      </c>
    </row>
    <row r="537" spans="1:20" ht="30" hidden="1" x14ac:dyDescent="0.25">
      <c r="A537" t="e">
        <f>INDEX('Orig (V1_BCK)'!$C:$C,MATCH($B537,'Orig (V1_BCK)'!$C:$C,0),1)</f>
        <v>#N/A</v>
      </c>
      <c r="B537" s="3" t="str">
        <f t="shared" si="8"/>
        <v>R9884155--</v>
      </c>
      <c r="C537" s="2" t="s">
        <v>1584</v>
      </c>
      <c r="D537" s="2" t="s">
        <v>10</v>
      </c>
      <c r="E537" s="2" t="s">
        <v>29</v>
      </c>
      <c r="F537" s="2" t="s">
        <v>1489</v>
      </c>
      <c r="G537" s="2" t="s">
        <v>2498</v>
      </c>
      <c r="H537" s="2" t="s">
        <v>1585</v>
      </c>
      <c r="I537" s="2"/>
      <c r="J537" s="2"/>
      <c r="K537" s="2" t="s">
        <v>1312</v>
      </c>
      <c r="L537" s="2"/>
      <c r="M537" s="2"/>
      <c r="N537" s="2"/>
      <c r="O537" s="2"/>
      <c r="P537" s="2"/>
      <c r="Q537" s="2"/>
      <c r="R537" s="2"/>
      <c r="S537" s="2"/>
      <c r="T537" s="2" t="s">
        <v>1583</v>
      </c>
    </row>
    <row r="538" spans="1:20" ht="45" hidden="1" x14ac:dyDescent="0.25">
      <c r="A538" t="str">
        <f>INDEX('Orig (V1_BCK)'!$C:$C,MATCH($B538,'Orig (V1_BCK)'!$C:$C,0),1)</f>
        <v>R9966182-R9966182-</v>
      </c>
      <c r="B538" s="3" t="str">
        <f t="shared" si="8"/>
        <v>R9966182-R9966182-</v>
      </c>
      <c r="C538" s="2" t="s">
        <v>968</v>
      </c>
      <c r="D538" s="2" t="s">
        <v>717</v>
      </c>
      <c r="E538" s="2" t="s">
        <v>969</v>
      </c>
      <c r="F538" s="2" t="s">
        <v>970</v>
      </c>
      <c r="G538" s="2" t="s">
        <v>2282</v>
      </c>
      <c r="H538" s="2" t="s">
        <v>971</v>
      </c>
      <c r="I538" s="2" t="s">
        <v>968</v>
      </c>
      <c r="J538" s="2"/>
      <c r="K538" s="2" t="s">
        <v>2283</v>
      </c>
      <c r="L538" s="2" t="s">
        <v>717</v>
      </c>
      <c r="M538" s="2"/>
      <c r="N538" s="2" t="s">
        <v>969</v>
      </c>
      <c r="O538" s="2"/>
      <c r="P538" s="2" t="s">
        <v>970</v>
      </c>
      <c r="Q538" s="2"/>
      <c r="R538" s="2"/>
      <c r="S538" s="2"/>
      <c r="T538" s="2" t="s">
        <v>2041</v>
      </c>
    </row>
    <row r="539" spans="1:20" hidden="1" x14ac:dyDescent="0.25">
      <c r="A539" t="e">
        <f>INDEX('Orig (V1_BCK)'!$C:$C,MATCH($B539,'Orig (V1_BCK)'!$C:$C,0),1)</f>
        <v>#N/A</v>
      </c>
      <c r="B539" s="3" t="str">
        <f t="shared" si="8"/>
        <v>S0878716--</v>
      </c>
      <c r="C539" s="2" t="s">
        <v>1535</v>
      </c>
      <c r="D539" s="2" t="s">
        <v>1536</v>
      </c>
      <c r="E539" s="2" t="s">
        <v>1537</v>
      </c>
      <c r="F539" s="2" t="s">
        <v>1538</v>
      </c>
      <c r="G539" s="2" t="s">
        <v>2485</v>
      </c>
      <c r="H539" s="2" t="s">
        <v>1539</v>
      </c>
      <c r="I539" s="2"/>
      <c r="J539" s="2"/>
      <c r="K539" s="2" t="s">
        <v>1312</v>
      </c>
      <c r="L539" s="2"/>
      <c r="M539" s="2"/>
      <c r="N539" s="2"/>
      <c r="O539" s="2"/>
      <c r="P539" s="2"/>
      <c r="Q539" s="2"/>
      <c r="R539" s="2"/>
      <c r="S539" s="2"/>
      <c r="T539" s="2" t="s">
        <v>2041</v>
      </c>
    </row>
    <row r="540" spans="1:20" hidden="1" x14ac:dyDescent="0.25">
      <c r="A540" t="e">
        <f>INDEX('Orig (V1_BCK)'!$C:$C,MATCH($B540,'Orig (V1_BCK)'!$C:$C,0),1)</f>
        <v>#N/A</v>
      </c>
      <c r="B540" s="3" t="str">
        <f t="shared" si="8"/>
        <v>S3045105--</v>
      </c>
      <c r="C540" s="2" t="s">
        <v>1964</v>
      </c>
      <c r="D540" s="2" t="s">
        <v>119</v>
      </c>
      <c r="E540" s="2" t="s">
        <v>1965</v>
      </c>
      <c r="F540" s="2" t="s">
        <v>1966</v>
      </c>
      <c r="G540" s="2" t="s">
        <v>2611</v>
      </c>
      <c r="H540" s="2" t="s">
        <v>2611</v>
      </c>
      <c r="I540" s="2"/>
      <c r="J540" s="2"/>
      <c r="K540" s="2" t="s">
        <v>1312</v>
      </c>
      <c r="L540" s="2"/>
      <c r="M540" s="2"/>
      <c r="N540" s="2"/>
      <c r="O540" s="2"/>
      <c r="P540" s="2"/>
      <c r="Q540" s="2"/>
      <c r="R540" s="2"/>
      <c r="S540" s="2"/>
      <c r="T540" s="2" t="s">
        <v>2041</v>
      </c>
    </row>
    <row r="541" spans="1:20" hidden="1" x14ac:dyDescent="0.25">
      <c r="A541" t="str">
        <f>INDEX('Orig (V1_BCK)'!$C:$C,MATCH($B541,'Orig (V1_BCK)'!$C:$C,0),1)</f>
        <v>S3084275--M1426435</v>
      </c>
      <c r="B541" s="3" t="str">
        <f t="shared" si="8"/>
        <v>S3084275--M1426435</v>
      </c>
      <c r="C541" s="2" t="s">
        <v>1075</v>
      </c>
      <c r="D541" s="2" t="s">
        <v>744</v>
      </c>
      <c r="E541" s="2" t="s">
        <v>1076</v>
      </c>
      <c r="F541" s="2" t="s">
        <v>493</v>
      </c>
      <c r="G541" s="2" t="s">
        <v>2336</v>
      </c>
      <c r="H541" s="2" t="s">
        <v>2336</v>
      </c>
      <c r="I541" s="2"/>
      <c r="J541" s="2" t="s">
        <v>571</v>
      </c>
      <c r="K541" s="2" t="s">
        <v>2137</v>
      </c>
      <c r="L541" s="2"/>
      <c r="M541" s="2" t="s">
        <v>92</v>
      </c>
      <c r="N541" s="2"/>
      <c r="O541" s="2" t="s">
        <v>572</v>
      </c>
      <c r="P541" s="2"/>
      <c r="Q541" s="2" t="s">
        <v>573</v>
      </c>
      <c r="R541" s="2"/>
      <c r="S541" s="2"/>
      <c r="T541" s="2" t="s">
        <v>2083</v>
      </c>
    </row>
    <row r="542" spans="1:20" hidden="1" x14ac:dyDescent="0.25">
      <c r="A542" t="str">
        <f>INDEX('Orig (V1_BCK)'!$C:$C,MATCH($B542,'Orig (V1_BCK)'!$C:$C,0),1)</f>
        <v>S4017070--B2149319</v>
      </c>
      <c r="B542" s="3" t="str">
        <f t="shared" si="8"/>
        <v>S4017070--B2149319</v>
      </c>
      <c r="C542" s="2" t="s">
        <v>1051</v>
      </c>
      <c r="D542" s="2" t="s">
        <v>1041</v>
      </c>
      <c r="E542" s="2" t="s">
        <v>1052</v>
      </c>
      <c r="F542" s="2" t="s">
        <v>1053</v>
      </c>
      <c r="G542" s="2" t="s">
        <v>2325</v>
      </c>
      <c r="H542" s="2" t="s">
        <v>1054</v>
      </c>
      <c r="I542" s="2"/>
      <c r="J542" s="2" t="s">
        <v>531</v>
      </c>
      <c r="K542" s="2" t="s">
        <v>2118</v>
      </c>
      <c r="L542" s="2"/>
      <c r="M542" s="2" t="s">
        <v>532</v>
      </c>
      <c r="N542" s="2"/>
      <c r="O542" s="2" t="s">
        <v>21</v>
      </c>
      <c r="P542" s="2"/>
      <c r="Q542" s="2" t="s">
        <v>533</v>
      </c>
      <c r="R542" s="2"/>
      <c r="S542" s="2"/>
      <c r="T542" s="2" t="s">
        <v>2071</v>
      </c>
    </row>
    <row r="543" spans="1:20" ht="30" hidden="1" x14ac:dyDescent="0.25">
      <c r="A543" t="str">
        <f>INDEX('Orig (V1_BCK)'!$C:$C,MATCH($B543,'Orig (V1_BCK)'!$C:$C,0),1)</f>
        <v>S4815932-S4815932-</v>
      </c>
      <c r="B543" s="3" t="str">
        <f t="shared" si="8"/>
        <v>S4815932-S4815932-</v>
      </c>
      <c r="C543" s="2" t="s">
        <v>954</v>
      </c>
      <c r="D543" s="2" t="s">
        <v>955</v>
      </c>
      <c r="E543" s="2" t="s">
        <v>956</v>
      </c>
      <c r="F543" s="2" t="s">
        <v>3</v>
      </c>
      <c r="G543" s="2" t="s">
        <v>2275</v>
      </c>
      <c r="H543" s="2" t="s">
        <v>957</v>
      </c>
      <c r="I543" s="2" t="s">
        <v>954</v>
      </c>
      <c r="J543" s="2"/>
      <c r="K543" s="2" t="s">
        <v>2276</v>
      </c>
      <c r="L543" s="2" t="s">
        <v>955</v>
      </c>
      <c r="M543" s="2"/>
      <c r="N543" s="2" t="s">
        <v>956</v>
      </c>
      <c r="O543" s="2"/>
      <c r="P543" s="2" t="s">
        <v>3</v>
      </c>
      <c r="Q543" s="2"/>
      <c r="R543" s="2"/>
      <c r="S543" s="2"/>
      <c r="T543" s="2" t="s">
        <v>2038</v>
      </c>
    </row>
    <row r="544" spans="1:20" hidden="1" x14ac:dyDescent="0.25">
      <c r="A544" t="e">
        <f>INDEX('Orig (V1_BCK)'!$C:$C,MATCH($B544,'Orig (V1_BCK)'!$C:$C,0),1)</f>
        <v>#N/A</v>
      </c>
      <c r="B544" s="3" t="str">
        <f t="shared" si="8"/>
        <v>S5121799--</v>
      </c>
      <c r="C544" s="2" t="s">
        <v>1857</v>
      </c>
      <c r="D544" s="2" t="s">
        <v>1658</v>
      </c>
      <c r="E544" s="2" t="s">
        <v>92</v>
      </c>
      <c r="F544" s="2" t="s">
        <v>29</v>
      </c>
      <c r="G544" s="2" t="s">
        <v>2580</v>
      </c>
      <c r="H544" s="2" t="s">
        <v>1378</v>
      </c>
      <c r="I544" s="2"/>
      <c r="J544" s="2"/>
      <c r="K544" s="2" t="s">
        <v>1312</v>
      </c>
      <c r="L544" s="2"/>
      <c r="M544" s="2"/>
      <c r="N544" s="2"/>
      <c r="O544" s="2"/>
      <c r="P544" s="2"/>
      <c r="Q544" s="2"/>
      <c r="R544" s="2"/>
      <c r="S544" s="2"/>
      <c r="T544" s="2" t="s">
        <v>2083</v>
      </c>
    </row>
    <row r="545" spans="1:20" hidden="1" x14ac:dyDescent="0.25">
      <c r="A545" t="str">
        <f>INDEX('Orig (V1_BCK)'!$C:$C,MATCH($B545,'Orig (V1_BCK)'!$C:$C,0),1)</f>
        <v>S5892027--G0003988</v>
      </c>
      <c r="B545" s="3" t="str">
        <f t="shared" si="8"/>
        <v>S5892027--G0003988</v>
      </c>
      <c r="C545" s="2" t="s">
        <v>743</v>
      </c>
      <c r="D545" s="2" t="s">
        <v>744</v>
      </c>
      <c r="E545" s="2" t="s">
        <v>745</v>
      </c>
      <c r="F545" s="2" t="s">
        <v>746</v>
      </c>
      <c r="G545" s="2" t="s">
        <v>2201</v>
      </c>
      <c r="H545" s="2" t="s">
        <v>747</v>
      </c>
      <c r="I545" s="2"/>
      <c r="J545" s="2" t="s">
        <v>694</v>
      </c>
      <c r="K545" s="2" t="s">
        <v>2182</v>
      </c>
      <c r="L545" s="2"/>
      <c r="M545" s="2" t="s">
        <v>695</v>
      </c>
      <c r="N545" s="2"/>
      <c r="O545" s="2" t="s">
        <v>493</v>
      </c>
      <c r="P545" s="2"/>
      <c r="Q545" s="2" t="s">
        <v>696</v>
      </c>
      <c r="R545" s="2"/>
      <c r="S545" s="2"/>
      <c r="T545" s="2" t="s">
        <v>2038</v>
      </c>
    </row>
    <row r="546" spans="1:20" hidden="1" x14ac:dyDescent="0.25">
      <c r="A546" t="str">
        <f>INDEX('Orig (V1_BCK)'!$C:$C,MATCH($B546,'Orig (V1_BCK)'!$C:$C,0),1)</f>
        <v>S6464703-S6464703-</v>
      </c>
      <c r="B546" s="3" t="str">
        <f t="shared" si="8"/>
        <v>S6464703-S6464703-</v>
      </c>
      <c r="C546" s="2" t="s">
        <v>1040</v>
      </c>
      <c r="D546" s="2" t="s">
        <v>1041</v>
      </c>
      <c r="E546" s="2" t="s">
        <v>1042</v>
      </c>
      <c r="F546" s="2" t="s">
        <v>691</v>
      </c>
      <c r="G546" s="2" t="s">
        <v>2317</v>
      </c>
      <c r="H546" s="2" t="s">
        <v>1043</v>
      </c>
      <c r="I546" s="2" t="s">
        <v>1040</v>
      </c>
      <c r="J546" s="2"/>
      <c r="K546" s="2" t="s">
        <v>2318</v>
      </c>
      <c r="L546" s="2" t="s">
        <v>1041</v>
      </c>
      <c r="M546" s="2"/>
      <c r="N546" s="2" t="s">
        <v>1042</v>
      </c>
      <c r="O546" s="2"/>
      <c r="P546" s="2" t="s">
        <v>691</v>
      </c>
      <c r="Q546" s="2"/>
      <c r="R546" s="2"/>
      <c r="S546" s="2"/>
      <c r="T546" s="2" t="s">
        <v>2038</v>
      </c>
    </row>
    <row r="547" spans="1:20" hidden="1" x14ac:dyDescent="0.25">
      <c r="A547" t="e">
        <f>INDEX('Orig (V1_BCK)'!$C:$C,MATCH($B547,'Orig (V1_BCK)'!$C:$C,0),1)</f>
        <v>#N/A</v>
      </c>
      <c r="B547" s="3" t="str">
        <f t="shared" si="8"/>
        <v>S6672960--</v>
      </c>
      <c r="C547" s="2" t="s">
        <v>1657</v>
      </c>
      <c r="D547" s="2" t="s">
        <v>1658</v>
      </c>
      <c r="E547" s="2" t="s">
        <v>1659</v>
      </c>
      <c r="F547" s="2" t="s">
        <v>1608</v>
      </c>
      <c r="G547" s="2" t="s">
        <v>2520</v>
      </c>
      <c r="H547" s="2" t="s">
        <v>1660</v>
      </c>
      <c r="I547" s="2"/>
      <c r="J547" s="2"/>
      <c r="K547" s="2" t="s">
        <v>1312</v>
      </c>
      <c r="L547" s="2"/>
      <c r="M547" s="2"/>
      <c r="N547" s="2"/>
      <c r="O547" s="2"/>
      <c r="P547" s="2"/>
      <c r="Q547" s="2"/>
      <c r="R547" s="2"/>
      <c r="S547" s="2"/>
      <c r="T547" s="2" t="s">
        <v>1583</v>
      </c>
    </row>
    <row r="548" spans="1:20" ht="45" hidden="1" x14ac:dyDescent="0.25">
      <c r="A548" t="e">
        <f>INDEX('Orig (V1_BCK)'!$C:$C,MATCH($B548,'Orig (V1_BCK)'!$C:$C,0),1)</f>
        <v>#N/A</v>
      </c>
      <c r="B548" s="3" t="str">
        <f t="shared" si="8"/>
        <v>S9233831--</v>
      </c>
      <c r="C548" s="2" t="s">
        <v>1798</v>
      </c>
      <c r="D548" s="2" t="s">
        <v>744</v>
      </c>
      <c r="E548" s="2" t="s">
        <v>1799</v>
      </c>
      <c r="F548" s="2" t="s">
        <v>1690</v>
      </c>
      <c r="G548" s="2" t="s">
        <v>2560</v>
      </c>
      <c r="H548" s="2" t="s">
        <v>1800</v>
      </c>
      <c r="I548" s="2"/>
      <c r="J548" s="2"/>
      <c r="K548" s="2" t="s">
        <v>1312</v>
      </c>
      <c r="L548" s="2"/>
      <c r="M548" s="2"/>
      <c r="N548" s="2"/>
      <c r="O548" s="2"/>
      <c r="P548" s="2"/>
      <c r="Q548" s="2"/>
      <c r="R548" s="2"/>
      <c r="S548" s="2"/>
      <c r="T548" s="2" t="s">
        <v>2041</v>
      </c>
    </row>
    <row r="549" spans="1:20" hidden="1" x14ac:dyDescent="0.25">
      <c r="A549" t="str">
        <f>INDEX('Orig (V1_BCK)'!$C:$C,MATCH($B549,'Orig (V1_BCK)'!$C:$C,0),1)</f>
        <v>SGID1033-J8235507-</v>
      </c>
      <c r="B549" s="3" t="str">
        <f t="shared" si="8"/>
        <v>SGID1033-J8235507-</v>
      </c>
      <c r="C549" s="2" t="s">
        <v>1159</v>
      </c>
      <c r="D549" s="2" t="s">
        <v>438</v>
      </c>
      <c r="E549" s="2" t="s">
        <v>1160</v>
      </c>
      <c r="F549" s="2" t="s">
        <v>74</v>
      </c>
      <c r="G549" s="2" t="s">
        <v>1164</v>
      </c>
      <c r="H549" s="2" t="s">
        <v>1165</v>
      </c>
      <c r="I549" s="2" t="s">
        <v>1166</v>
      </c>
      <c r="J549" s="2"/>
      <c r="K549" s="2" t="s">
        <v>1167</v>
      </c>
      <c r="L549" s="2" t="s">
        <v>552</v>
      </c>
      <c r="M549" s="2"/>
      <c r="N549" s="2" t="s">
        <v>1168</v>
      </c>
      <c r="O549" s="2"/>
      <c r="P549" s="2" t="s">
        <v>29</v>
      </c>
      <c r="Q549" s="2"/>
      <c r="R549" s="2"/>
      <c r="S549" s="2"/>
      <c r="T549" s="2" t="s">
        <v>47</v>
      </c>
    </row>
    <row r="550" spans="1:20" hidden="1" x14ac:dyDescent="0.25">
      <c r="A550" t="str">
        <f>INDEX('Orig (V1_BCK)'!$C:$C,MATCH($B550,'Orig (V1_BCK)'!$C:$C,0),1)</f>
        <v>SGID1033--</v>
      </c>
      <c r="B550" s="3" t="str">
        <f t="shared" si="8"/>
        <v>SGID1033--</v>
      </c>
      <c r="C550" s="2" t="s">
        <v>1159</v>
      </c>
      <c r="D550" s="2" t="s">
        <v>438</v>
      </c>
      <c r="E550" s="2" t="s">
        <v>1160</v>
      </c>
      <c r="F550" s="2" t="s">
        <v>74</v>
      </c>
      <c r="G550" s="2" t="s">
        <v>1161</v>
      </c>
      <c r="H550" s="2" t="s">
        <v>1162</v>
      </c>
      <c r="I550" s="2"/>
      <c r="J550" s="2"/>
      <c r="K550" s="2" t="s">
        <v>1163</v>
      </c>
      <c r="L550" s="2"/>
      <c r="M550" s="2"/>
      <c r="N550" s="2"/>
      <c r="O550" s="2"/>
      <c r="P550" s="2"/>
      <c r="Q550" s="2"/>
      <c r="R550" s="2"/>
      <c r="S550" s="2"/>
      <c r="T550" s="2" t="s">
        <v>47</v>
      </c>
    </row>
    <row r="551" spans="1:20" s="11" customFormat="1" ht="30" hidden="1" x14ac:dyDescent="0.25">
      <c r="A551" s="9" t="e">
        <f>INDEX('Orig (V1_BCK)'!$C:$C,MATCH($B551,'Orig (V1_BCK)'!$C:$C,0),1)</f>
        <v>#N/A</v>
      </c>
      <c r="B551" s="8" t="str">
        <f t="shared" si="8"/>
        <v>SS012345-N3723463-</v>
      </c>
      <c r="C551" s="10" t="s">
        <v>653</v>
      </c>
      <c r="D551" s="10" t="s">
        <v>76</v>
      </c>
      <c r="E551" s="10" t="s">
        <v>77</v>
      </c>
      <c r="F551" s="10" t="s">
        <v>78</v>
      </c>
      <c r="G551" s="10" t="s">
        <v>2065</v>
      </c>
      <c r="H551" s="10" t="s">
        <v>79</v>
      </c>
      <c r="I551" s="10" t="s">
        <v>80</v>
      </c>
      <c r="J551" s="10"/>
      <c r="K551" s="10" t="s">
        <v>2066</v>
      </c>
      <c r="L551" s="10" t="s">
        <v>81</v>
      </c>
      <c r="M551" s="10"/>
      <c r="N551" s="10" t="s">
        <v>82</v>
      </c>
      <c r="O551" s="10"/>
      <c r="P551" s="10" t="s">
        <v>83</v>
      </c>
      <c r="Q551" s="10"/>
      <c r="R551" s="10"/>
      <c r="S551" s="10"/>
      <c r="T551" s="10" t="s">
        <v>2038</v>
      </c>
    </row>
    <row r="552" spans="1:20" hidden="1" x14ac:dyDescent="0.25">
      <c r="A552" t="str">
        <f>INDEX('Orig (V1_BCK)'!$C:$C,MATCH($B552,'Orig (V1_BCK)'!$C:$C,0),1)</f>
        <v>T3229795-T3229795-</v>
      </c>
      <c r="B552" s="3" t="str">
        <f t="shared" si="8"/>
        <v>T3229795-T3229795-</v>
      </c>
      <c r="C552" s="2" t="s">
        <v>53</v>
      </c>
      <c r="D552" s="2" t="s">
        <v>54</v>
      </c>
      <c r="E552" s="2" t="s">
        <v>55</v>
      </c>
      <c r="F552" s="2" t="s">
        <v>44</v>
      </c>
      <c r="G552" s="2" t="s">
        <v>2055</v>
      </c>
      <c r="H552" s="2" t="s">
        <v>56</v>
      </c>
      <c r="I552" s="2" t="s">
        <v>53</v>
      </c>
      <c r="J552" s="2"/>
      <c r="K552" s="2" t="s">
        <v>2056</v>
      </c>
      <c r="L552" s="2" t="s">
        <v>54</v>
      </c>
      <c r="M552" s="2"/>
      <c r="N552" s="2" t="s">
        <v>55</v>
      </c>
      <c r="O552" s="2"/>
      <c r="P552" s="2" t="s">
        <v>44</v>
      </c>
      <c r="Q552" s="2"/>
      <c r="R552" s="2"/>
      <c r="S552" s="2"/>
      <c r="T552" s="2" t="s">
        <v>47</v>
      </c>
    </row>
    <row r="553" spans="1:20" ht="30" hidden="1" x14ac:dyDescent="0.25">
      <c r="A553" t="str">
        <f>INDEX('Orig (V1_BCK)'!$C:$C,MATCH($B553,'Orig (V1_BCK)'!$C:$C,0),1)</f>
        <v>V0741212-V0741212-</v>
      </c>
      <c r="B553" s="3" t="str">
        <f t="shared" si="8"/>
        <v>V0741212-V0741212-</v>
      </c>
      <c r="C553" s="2" t="s">
        <v>803</v>
      </c>
      <c r="D553" s="2" t="s">
        <v>804</v>
      </c>
      <c r="E553" s="2" t="s">
        <v>805</v>
      </c>
      <c r="F553" s="2" t="s">
        <v>806</v>
      </c>
      <c r="G553" s="2" t="s">
        <v>2222</v>
      </c>
      <c r="H553" s="2" t="s">
        <v>807</v>
      </c>
      <c r="I553" s="2" t="s">
        <v>803</v>
      </c>
      <c r="J553" s="2"/>
      <c r="K553" s="2" t="s">
        <v>2223</v>
      </c>
      <c r="L553" s="2" t="s">
        <v>804</v>
      </c>
      <c r="M553" s="2"/>
      <c r="N553" s="2" t="s">
        <v>805</v>
      </c>
      <c r="O553" s="2"/>
      <c r="P553" s="2" t="s">
        <v>806</v>
      </c>
      <c r="Q553" s="2"/>
      <c r="R553" s="2"/>
      <c r="S553" s="2"/>
      <c r="T553" s="2" t="s">
        <v>107</v>
      </c>
    </row>
    <row r="554" spans="1:20" hidden="1" x14ac:dyDescent="0.25">
      <c r="A554" t="str">
        <f>INDEX('Orig (V1_BCK)'!$C:$C,MATCH($B554,'Orig (V1_BCK)'!$C:$C,0),1)</f>
        <v>V2068289--J1842217</v>
      </c>
      <c r="B554" s="3" t="str">
        <f t="shared" si="8"/>
        <v>V2068289--J1842217</v>
      </c>
      <c r="C554" s="2" t="s">
        <v>732</v>
      </c>
      <c r="D554" s="2" t="s">
        <v>60</v>
      </c>
      <c r="E554" s="2" t="s">
        <v>733</v>
      </c>
      <c r="F554" s="2" t="s">
        <v>734</v>
      </c>
      <c r="G554" s="2" t="s">
        <v>2196</v>
      </c>
      <c r="H554" s="2" t="s">
        <v>1133</v>
      </c>
      <c r="I554" s="2"/>
      <c r="J554" s="2" t="s">
        <v>457</v>
      </c>
      <c r="K554" s="2" t="s">
        <v>2087</v>
      </c>
      <c r="L554" s="2"/>
      <c r="M554" s="2" t="s">
        <v>458</v>
      </c>
      <c r="N554" s="2"/>
      <c r="O554" s="2" t="s">
        <v>459</v>
      </c>
      <c r="P554" s="2"/>
      <c r="Q554" s="2" t="s">
        <v>460</v>
      </c>
      <c r="R554" s="2"/>
      <c r="S554" s="2"/>
      <c r="T554" s="2" t="s">
        <v>2083</v>
      </c>
    </row>
    <row r="555" spans="1:20" hidden="1" x14ac:dyDescent="0.25">
      <c r="A555" t="str">
        <f>INDEX('Orig (V1_BCK)'!$C:$C,MATCH($B555,'Orig (V1_BCK)'!$C:$C,0),1)</f>
        <v>V2925369--J1842217</v>
      </c>
      <c r="B555" s="3" t="str">
        <f t="shared" si="8"/>
        <v>V2925369--J1842217</v>
      </c>
      <c r="C555" s="2" t="s">
        <v>763</v>
      </c>
      <c r="D555" s="2" t="s">
        <v>764</v>
      </c>
      <c r="E555" s="2" t="s">
        <v>765</v>
      </c>
      <c r="F555" s="2" t="s">
        <v>766</v>
      </c>
      <c r="G555" s="2" t="s">
        <v>2209</v>
      </c>
      <c r="H555" s="2" t="s">
        <v>1098</v>
      </c>
      <c r="I555" s="2"/>
      <c r="J555" s="2" t="s">
        <v>457</v>
      </c>
      <c r="K555" s="2" t="s">
        <v>2087</v>
      </c>
      <c r="L555" s="2"/>
      <c r="M555" s="2" t="s">
        <v>458</v>
      </c>
      <c r="N555" s="2"/>
      <c r="O555" s="2" t="s">
        <v>459</v>
      </c>
      <c r="P555" s="2"/>
      <c r="Q555" s="2" t="s">
        <v>460</v>
      </c>
      <c r="R555" s="2"/>
      <c r="S555" s="2"/>
      <c r="T555" s="2" t="s">
        <v>2083</v>
      </c>
    </row>
    <row r="556" spans="1:20" ht="30" hidden="1" x14ac:dyDescent="0.25">
      <c r="A556" t="str">
        <f>INDEX('Orig (V1_BCK)'!$C:$C,MATCH($B556,'Orig (V1_BCK)'!$C:$C,0),1)</f>
        <v>V5668792-P9875672-</v>
      </c>
      <c r="B556" s="3" t="str">
        <f t="shared" si="8"/>
        <v>V5668792-P9875672-</v>
      </c>
      <c r="C556" s="2" t="s">
        <v>99</v>
      </c>
      <c r="D556" s="2" t="s">
        <v>100</v>
      </c>
      <c r="E556" s="2" t="s">
        <v>101</v>
      </c>
      <c r="F556" s="2" t="s">
        <v>102</v>
      </c>
      <c r="G556" s="2" t="s">
        <v>2074</v>
      </c>
      <c r="H556" s="2" t="s">
        <v>103</v>
      </c>
      <c r="I556" s="2" t="s">
        <v>104</v>
      </c>
      <c r="J556" s="2"/>
      <c r="K556" s="2" t="s">
        <v>2075</v>
      </c>
      <c r="L556" s="2" t="s">
        <v>58</v>
      </c>
      <c r="M556" s="2"/>
      <c r="N556" s="2" t="s">
        <v>105</v>
      </c>
      <c r="O556" s="2"/>
      <c r="P556" s="2" t="s">
        <v>106</v>
      </c>
      <c r="Q556" s="2"/>
      <c r="R556" s="2"/>
      <c r="S556" s="2"/>
      <c r="T556" s="2" t="s">
        <v>107</v>
      </c>
    </row>
    <row r="557" spans="1:20" ht="30" hidden="1" x14ac:dyDescent="0.25">
      <c r="A557" t="e">
        <f>INDEX('Orig (V1_BCK)'!$C:$C,MATCH($B557,'Orig (V1_BCK)'!$C:$C,0),1)</f>
        <v>#N/A</v>
      </c>
      <c r="B557" s="3" t="str">
        <f t="shared" si="8"/>
        <v>V6777662--</v>
      </c>
      <c r="C557" s="2" t="s">
        <v>1369</v>
      </c>
      <c r="D557" s="2" t="s">
        <v>1370</v>
      </c>
      <c r="E557" s="2" t="s">
        <v>1231</v>
      </c>
      <c r="F557" s="2" t="s">
        <v>1371</v>
      </c>
      <c r="G557" s="2" t="s">
        <v>2431</v>
      </c>
      <c r="H557" s="2" t="s">
        <v>1372</v>
      </c>
      <c r="I557" s="2"/>
      <c r="J557" s="2"/>
      <c r="K557" s="2" t="s">
        <v>1312</v>
      </c>
      <c r="L557" s="2"/>
      <c r="M557" s="2"/>
      <c r="N557" s="2"/>
      <c r="O557" s="2"/>
      <c r="P557" s="2"/>
      <c r="Q557" s="2"/>
      <c r="R557" s="2"/>
      <c r="S557" s="2"/>
      <c r="T557" s="2" t="s">
        <v>2080</v>
      </c>
    </row>
    <row r="558" spans="1:20" ht="45" hidden="1" x14ac:dyDescent="0.25">
      <c r="A558" t="e">
        <f>INDEX('Orig (V1_BCK)'!$C:$C,MATCH($B558,'Orig (V1_BCK)'!$C:$C,0),1)</f>
        <v>#N/A</v>
      </c>
      <c r="B558" s="3" t="str">
        <f t="shared" si="8"/>
        <v>V8105973--</v>
      </c>
      <c r="C558" s="2" t="s">
        <v>1390</v>
      </c>
      <c r="D558" s="2" t="s">
        <v>1229</v>
      </c>
      <c r="E558" s="2" t="s">
        <v>1391</v>
      </c>
      <c r="F558" s="2" t="s">
        <v>1392</v>
      </c>
      <c r="G558" s="2" t="s">
        <v>2440</v>
      </c>
      <c r="H558" s="2" t="s">
        <v>1393</v>
      </c>
      <c r="I558" s="2"/>
      <c r="J558" s="2"/>
      <c r="K558" s="2" t="s">
        <v>1312</v>
      </c>
      <c r="L558" s="2"/>
      <c r="M558" s="2"/>
      <c r="N558" s="2"/>
      <c r="O558" s="2"/>
      <c r="P558" s="2"/>
      <c r="Q558" s="2"/>
      <c r="R558" s="2"/>
      <c r="S558" s="2"/>
      <c r="T558" s="2" t="s">
        <v>2041</v>
      </c>
    </row>
    <row r="559" spans="1:20" ht="30" hidden="1" x14ac:dyDescent="0.25">
      <c r="A559" t="str">
        <f>INDEX('Orig (V1_BCK)'!$C:$C,MATCH($B559,'Orig (V1_BCK)'!$C:$C,0),1)</f>
        <v>V9086179--A3167958</v>
      </c>
      <c r="B559" s="3" t="str">
        <f t="shared" si="8"/>
        <v>V9086179--A3167958</v>
      </c>
      <c r="C559" s="2" t="s">
        <v>710</v>
      </c>
      <c r="D559" s="2" t="s">
        <v>711</v>
      </c>
      <c r="E559" s="2" t="s">
        <v>700</v>
      </c>
      <c r="F559" s="2" t="s">
        <v>712</v>
      </c>
      <c r="G559" s="2" t="s">
        <v>2187</v>
      </c>
      <c r="H559" s="2" t="s">
        <v>947</v>
      </c>
      <c r="I559" s="2"/>
      <c r="J559" s="2" t="s">
        <v>640</v>
      </c>
      <c r="K559" s="2" t="s">
        <v>2163</v>
      </c>
      <c r="L559" s="2"/>
      <c r="M559" s="2" t="s">
        <v>68</v>
      </c>
      <c r="N559" s="2"/>
      <c r="O559" s="2" t="s">
        <v>549</v>
      </c>
      <c r="P559" s="2"/>
      <c r="Q559" s="2" t="s">
        <v>12</v>
      </c>
      <c r="R559" s="2"/>
      <c r="S559" s="2"/>
      <c r="T559" s="2" t="s">
        <v>2083</v>
      </c>
    </row>
    <row r="560" spans="1:20" hidden="1" x14ac:dyDescent="0.25">
      <c r="A560" t="str">
        <f>INDEX('Orig (V1_BCK)'!$C:$C,MATCH($B560,'Orig (V1_BCK)'!$C:$C,0),1)</f>
        <v>V9777605-V9777605-</v>
      </c>
      <c r="B560" s="3" t="str">
        <f t="shared" si="8"/>
        <v>V9777605-V9777605-</v>
      </c>
      <c r="C560" s="2" t="s">
        <v>738</v>
      </c>
      <c r="D560" s="2" t="s">
        <v>739</v>
      </c>
      <c r="E560" s="2" t="s">
        <v>740</v>
      </c>
      <c r="F560" s="2" t="s">
        <v>741</v>
      </c>
      <c r="G560" s="2" t="s">
        <v>2199</v>
      </c>
      <c r="H560" s="2" t="s">
        <v>742</v>
      </c>
      <c r="I560" s="2" t="s">
        <v>738</v>
      </c>
      <c r="J560" s="2"/>
      <c r="K560" s="2" t="s">
        <v>2200</v>
      </c>
      <c r="L560" s="2" t="s">
        <v>739</v>
      </c>
      <c r="M560" s="2"/>
      <c r="N560" s="2" t="s">
        <v>740</v>
      </c>
      <c r="O560" s="2"/>
      <c r="P560" s="2" t="s">
        <v>741</v>
      </c>
      <c r="Q560" s="2"/>
      <c r="R560" s="2"/>
      <c r="S560" s="2"/>
      <c r="T560" s="2" t="s">
        <v>2038</v>
      </c>
    </row>
    <row r="561" spans="1:20" ht="30" hidden="1" x14ac:dyDescent="0.25">
      <c r="A561" t="str">
        <f>INDEX('Orig (V1_BCK)'!$C:$C,MATCH($B561,'Orig (V1_BCK)'!$C:$C,0),1)</f>
        <v>Y2236249--I6825354</v>
      </c>
      <c r="B561" s="3" t="str">
        <f t="shared" si="8"/>
        <v>Y2236249--I6825354</v>
      </c>
      <c r="C561" s="2" t="s">
        <v>782</v>
      </c>
      <c r="D561" s="2" t="s">
        <v>783</v>
      </c>
      <c r="E561" s="2" t="s">
        <v>784</v>
      </c>
      <c r="F561" s="2" t="s">
        <v>8</v>
      </c>
      <c r="G561" s="2" t="s">
        <v>2216</v>
      </c>
      <c r="H561" s="2" t="s">
        <v>785</v>
      </c>
      <c r="I561" s="2"/>
      <c r="J561" s="2" t="s">
        <v>491</v>
      </c>
      <c r="K561" s="2" t="s">
        <v>2102</v>
      </c>
      <c r="L561" s="2"/>
      <c r="M561" s="2" t="s">
        <v>492</v>
      </c>
      <c r="N561" s="2"/>
      <c r="O561" s="2" t="s">
        <v>493</v>
      </c>
      <c r="P561" s="2"/>
      <c r="Q561" s="2" t="s">
        <v>60</v>
      </c>
      <c r="R561" s="2"/>
      <c r="S561" s="2"/>
      <c r="T561" s="2" t="s">
        <v>2083</v>
      </c>
    </row>
    <row r="562" spans="1:20" hidden="1" x14ac:dyDescent="0.25">
      <c r="A562" t="str">
        <f>INDEX('Orig (V1_BCK)'!$C:$C,MATCH($B562,'Orig (V1_BCK)'!$C:$C,0),1)</f>
        <v>Y3223618--J6399199</v>
      </c>
      <c r="B562" s="3" t="str">
        <f t="shared" si="8"/>
        <v>Y3223618--J6399199</v>
      </c>
      <c r="C562" s="2" t="s">
        <v>897</v>
      </c>
      <c r="D562" s="2" t="s">
        <v>898</v>
      </c>
      <c r="E562" s="2" t="s">
        <v>899</v>
      </c>
      <c r="F562" s="2" t="s">
        <v>900</v>
      </c>
      <c r="G562" s="2" t="s">
        <v>2252</v>
      </c>
      <c r="H562" s="2" t="s">
        <v>915</v>
      </c>
      <c r="I562" s="2"/>
      <c r="J562" s="2" t="s">
        <v>775</v>
      </c>
      <c r="K562" s="2" t="s">
        <v>2213</v>
      </c>
      <c r="L562" s="2"/>
      <c r="M562" s="2" t="s">
        <v>776</v>
      </c>
      <c r="N562" s="2"/>
      <c r="O562" s="2" t="s">
        <v>777</v>
      </c>
      <c r="P562" s="2"/>
      <c r="Q562" s="2" t="s">
        <v>778</v>
      </c>
      <c r="R562" s="2"/>
      <c r="S562" s="2"/>
      <c r="T562" s="2" t="s">
        <v>2083</v>
      </c>
    </row>
    <row r="563" spans="1:20" ht="30" hidden="1" x14ac:dyDescent="0.25">
      <c r="A563" t="e">
        <f>INDEX('Orig (V1_BCK)'!$C:$C,MATCH($B563,'Orig (V1_BCK)'!$C:$C,0),1)</f>
        <v>#N/A</v>
      </c>
      <c r="B563" s="3" t="str">
        <f t="shared" si="8"/>
        <v>Y3576860--</v>
      </c>
      <c r="C563" s="2" t="s">
        <v>2024</v>
      </c>
      <c r="D563" s="2" t="s">
        <v>2025</v>
      </c>
      <c r="E563" s="2" t="s">
        <v>2026</v>
      </c>
      <c r="F563" s="2" t="s">
        <v>2026</v>
      </c>
      <c r="G563" s="2" t="s">
        <v>2631</v>
      </c>
      <c r="H563" s="2" t="s">
        <v>2631</v>
      </c>
      <c r="I563" s="2"/>
      <c r="J563" s="2"/>
      <c r="K563" s="2" t="s">
        <v>1312</v>
      </c>
      <c r="L563" s="2"/>
      <c r="M563" s="2"/>
      <c r="N563" s="2"/>
      <c r="O563" s="2"/>
      <c r="P563" s="2"/>
      <c r="Q563" s="2"/>
      <c r="R563" s="2"/>
      <c r="S563" s="2"/>
      <c r="T563" s="2" t="s">
        <v>2041</v>
      </c>
    </row>
  </sheetData>
  <autoFilter ref="A1:T563" xr:uid="{066AAA61-8CF8-4A84-9307-800F5E2C7D26}">
    <filterColumn colId="0">
      <colorFilter dxfId="1"/>
    </filterColumn>
  </autoFilter>
  <sortState xmlns:xlrd2="http://schemas.microsoft.com/office/spreadsheetml/2017/richdata2" ref="A2:T563">
    <sortCondition ref="C2:C563"/>
    <sortCondition ref="J2:J56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4B54-285F-487F-852D-E8DE7A6B6369}">
  <dimension ref="A1:A4"/>
  <sheetViews>
    <sheetView workbookViewId="0">
      <selection sqref="A1:A4"/>
    </sheetView>
  </sheetViews>
  <sheetFormatPr baseColWidth="10" defaultRowHeight="15" x14ac:dyDescent="0.25"/>
  <cols>
    <col min="1" max="1" width="78.140625" customWidth="1"/>
  </cols>
  <sheetData>
    <row r="1" spans="1:1" x14ac:dyDescent="0.25">
      <c r="A1" s="4" t="s">
        <v>2641</v>
      </c>
    </row>
    <row r="2" spans="1:1" x14ac:dyDescent="0.25">
      <c r="A2" s="9" t="s">
        <v>2638</v>
      </c>
    </row>
    <row r="3" spans="1:1" x14ac:dyDescent="0.25">
      <c r="A3" s="12" t="s">
        <v>2640</v>
      </c>
    </row>
    <row r="4" spans="1:1" x14ac:dyDescent="0.25">
      <c r="A4" s="17" t="s">
        <v>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Orig (V1_BCK)</vt:lpstr>
      <vt:lpstr>Nueva (V11)</vt:lpstr>
      <vt:lpstr>Correg (V1)</vt:lpstr>
      <vt:lpstr>Leyendas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ROSILLO MARQUEZ (EXT)</dc:creator>
  <cp:lastModifiedBy>Raul ROSILLO MARQUEZ (EXT)</cp:lastModifiedBy>
  <dcterms:created xsi:type="dcterms:W3CDTF">2025-03-12T08:36:14Z</dcterms:created>
  <dcterms:modified xsi:type="dcterms:W3CDTF">2025-03-12T15:50:23Z</dcterms:modified>
</cp:coreProperties>
</file>